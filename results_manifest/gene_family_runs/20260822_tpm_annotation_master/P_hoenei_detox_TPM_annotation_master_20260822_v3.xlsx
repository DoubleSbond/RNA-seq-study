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23ef0bbbc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9ceb1c6b527428a"/>
    <x:sheet xmlns:r="http://schemas.openxmlformats.org/officeDocument/2006/relationships" name="Summary" sheetId="2" r:id="R76af5940fc6141d2"/>
    <x:sheet xmlns:r="http://schemas.openxmlformats.org/officeDocument/2006/relationships" name="Gene_Master" sheetId="3" r:id="R0cb31b537e314b56"/>
    <x:sheet xmlns:r="http://schemas.openxmlformats.org/officeDocument/2006/relationships" name="TPM_Long" sheetId="4" r:id="Rf6cd592913be412c"/>
    <x:sheet xmlns:r="http://schemas.openxmlformats.org/officeDocument/2006/relationships" name="Sources" sheetId="5" r:id="R0d034ded45ae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0E+00"/>
    <x:numFmt numFmtId="202" formatCode="0.00E+00"/>
    <x:numFmt numFmtId="203" formatCode="0"/>
    <x:numFmt numFmtId="204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204" fontId="0" fillId="0" borderId="7" xfId="0" applyNumberFormat="1" applyFont="1" applyFill="1" applyBorder="1"/>
    <x:xf numFmtId="204" fontId="0" fillId="0" borderId="8" xfId="0" applyNumberFormat="1" applyFont="1" applyFill="1" applyBorder="1"/>
    <x:xf numFmtId="204" fontId="0" fillId="0" borderId="9" xfId="0" applyNumberFormat="1" applyFont="1" applyFill="1" applyBorder="1"/>
    <x:xf numFmtId="200" fontId="0" fillId="0" borderId="7" xfId="0" applyNumberFormat="1" applyFont="1" applyFill="1" applyBorder="1"/>
    <x:xf numFmtId="200" fontId="0" fillId="0" borderId="2" xfId="0" applyNumberFormat="1" applyFont="1" applyFill="1" applyBorder="1"/>
    <x:xf numFmtId="200" fontId="0" fillId="0" borderId="8" xfId="0" applyNumberFormat="1" applyFont="1" applyFill="1" applyBorder="1"/>
    <x:xf numFmtId="200" fontId="0" fillId="0" borderId="4" xfId="0" applyNumberFormat="1" applyFont="1" applyFill="1" applyBorder="1"/>
    <x:xf numFmtId="200" fontId="0" fillId="0" borderId="9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81c71e61a4ee4" /><Relationship Type="http://schemas.openxmlformats.org/officeDocument/2006/relationships/theme" Target="/xl/theme/theme1.xml" Id="Rde877240816c40d1" /><Relationship Type="http://schemas.microsoft.com/office/2022/11/relationships/FeaturePropertyBag" Target="/xl/featurePropertyBag/featurePropertyBag.xml" Id="Rb7c7cd48bbf545fe" /><Relationship Type="http://schemas.openxmlformats.org/officeDocument/2006/relationships/sharedStrings" Target="/xl/sharedStrings.xml" Id="R838d6520f3f34556" /><Relationship Type="http://schemas.openxmlformats.org/officeDocument/2006/relationships/worksheet" Target="/xl/worksheets/sheet1.xml" Id="R39ceb1c6b527428a" /><Relationship Type="http://schemas.openxmlformats.org/officeDocument/2006/relationships/worksheet" Target="/xl/worksheets/sheet2.xml" Id="R76af5940fc6141d2" /><Relationship Type="http://schemas.openxmlformats.org/officeDocument/2006/relationships/worksheet" Target="/xl/worksheets/sheet3.xml" Id="R0cb31b537e314b56" /><Relationship Type="http://schemas.openxmlformats.org/officeDocument/2006/relationships/worksheet" Target="/xl/worksheets/sheet4.xml" Id="Rf6cd592913be412c" /><Relationship Type="http://schemas.openxmlformats.org/officeDocument/2006/relationships/worksheet" Target="/xl/worksheets/sheet5.xml" Id="R0d034ded45ae4450" /><Relationship Type="http://schemas.microsoft.com/office/2017/10/relationships/person" Target="/xl/persons/person.xml" Id="Rf08a5a9160084d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chenj" id="{C69C94AC-879E-4D1D-96F2-C3641173ECBB}"/>
</xltc:personList>
</file>

<file path=xl/tables/table1.xml><?xml version="1.0" encoding="utf-8"?>
<x:table xmlns:x="http://schemas.openxmlformats.org/spreadsheetml/2006/main" id="1" name="GeneMasterTable" displayName="GeneMasterTable" ref="A1:BC137" headerRowCount="1" totalsRowCount="0" totalsRowShown="0">
  <x:tableColumns count="55">
    <x:tableColumn id="1" name="Family"/>
    <x:tableColumn id="2" name="GeneID"/>
    <x:tableColumn id="3" name="HistoricalFinal"/>
    <x:tableColumn id="4" name="TranscriptCount"/>
    <x:tableColumn id="5" name="Dan_mg1"/>
    <x:tableColumn id="6" name="Dan_mg2"/>
    <x:tableColumn id="7" name="Dan_mg3"/>
    <x:tableColumn id="8" name="Mul_mg1"/>
    <x:tableColumn id="9" name="Mul_mg2"/>
    <x:tableColumn id="10" name="Mul_mg3"/>
    <x:tableColumn id="11" name="Archived_Dan_mean"/>
    <x:tableColumn id="12" name="Archived_Mul_mean"/>
    <x:tableColumn id="13" name="Archived_Delta_Mul_minus_Dan"/>
    <x:tableColumn id="14" name="Best_padj"/>
    <x:tableColumn id="15" name="RepresentativePeptide"/>
    <x:tableColumn id="16" name="PeptideLength"/>
    <x:tableColumn id="17" name="DomainClassification"/>
    <x:tableColumn id="18" name="DomainReason"/>
    <x:tableColumn id="19" name="Domains"/>
    <x:tableColumn id="20" name="DomainDescriptions"/>
    <x:tableColumn id="21" name="SecondPassRecommendation"/>
    <x:tableColumn id="22" name="SecondPassReason"/>
    <x:tableColumn id="23" name="ABCTriage"/>
    <x:tableColumn id="24" name="ABCTriageReason"/>
    <x:tableColumn id="25" name="ProfileHMMHit"/>
    <x:tableColumn id="26" name="NovelProfileHMMHit"/>
    <x:tableColumn id="27" name="ReferenceHit_E1e3"/>
    <x:tableColumn id="28" name="ReferenceHit_E1e5_Cov40"/>
    <x:tableColumn id="29" name="BestFamilyReference"/>
    <x:tableColumn id="30" name="BestFamilyReferenceEvalue"/>
    <x:tableColumn id="31" name="BestFamilyReferenceBitscore"/>
    <x:tableColumn id="32" name="BestFamilyReferenceIdentity"/>
    <x:tableColumn id="33" name="BestFamilyReferenceQcov"/>
    <x:tableColumn id="34" name="BestFamilyReferenceScov"/>
    <x:tableColumn id="35" name="SwissProtTopID"/>
    <x:tableColumn id="36" name="SwissProtTopTitle"/>
    <x:tableColumn id="37" name="SwissProtTopEvalue"/>
    <x:tableColumn id="38" name="SwissProtTopBitscore"/>
    <x:tableColumn id="39" name="SwissProtTopIdentity"/>
    <x:tableColumn id="40" name="SwissProtTopQcov"/>
    <x:tableColumn id="41" name="SwissProtTopScov"/>
    <x:tableColumn id="42" name="PROSITE_Pruned_Count"/>
    <x:tableColumn id="43" name="PROSITE_Full_Count"/>
    <x:tableColumn id="44" name="SimilarityComponent"/>
    <x:tableColumn id="45" name="SimilarityComponentSize"/>
    <x:tableColumn id="46" name="Recalc_Dan_mean"/>
    <x:tableColumn id="47" name="Recalc_Dan_sd"/>
    <x:tableColumn id="48" name="Recalc_Mul_mean"/>
    <x:tableColumn id="49" name="Recalc_Mul_sd"/>
    <x:tableColumn id="50" name="Recalc_Delta_Mul_minus_Dan"/>
    <x:tableColumn id="51" name="Log2FC_Mul_vs_Dan_plus1"/>
    <x:tableColumn id="52" name="Mean_TPM_all6"/>
    <x:tableColumn id="53" name="Max_TPM_all6"/>
    <x:tableColumn id="54" name="EvidenceScore"/>
    <x:tableColumn id="55" name="Review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MLongTable" displayName="TPMLongTable" ref="A1:F817" headerRowCount="1" totalsRowCount="0" totalsRowShown="0">
  <x:tableColumns count="6">
    <x:tableColumn id="1" name="Family"/>
    <x:tableColumn id="2" name="GeneID"/>
    <x:tableColumn id="3" name="Condition"/>
    <x:tableColumn id="4" name="Replicate"/>
    <x:tableColumn id="5" name="Sample"/>
    <x:tableColumn id="6" name="TP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ManifestTable" displayName="SourceManifestTable" ref="A1:C62" headerRowCount="1" totalsRowCount="0" totalsRowShown="0">
  <x:tableColumns count="3">
    <x:tableColumn id="1" name="sha256"/>
    <x:tableColumn id="2" name="bytes"/>
    <x:tableColumn id="3" name="repo_relative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739e385899c4a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482b05a09334a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13b162b9c974e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 ht="30" customHeight="1">
      <x:c r="A1" s="2" t="str">
        <x:v>P. hoenei detoxification families — TPM and annotation master</x:v>
      </x:c>
      <x:c r="B1" s="2"/>
      <x:c r="C1" s="2"/>
      <x:c r="D1" s="2"/>
      <x:c r="E1" s="2"/>
      <x:c r="F1" s="2"/>
      <x:c r="G1" s="2"/>
      <x:c r="H1" s="2"/>
    </x:row>
    <x:row r="3">
      <x:c r="A3" s="8" t="str">
        <x:v>Scope</x:v>
      </x:c>
      <x:c r="B3" s="9" t="str">
        <x:v>CarE, GST, UGT, SULT and ABC broad candidate pools; one row per gene.</x:v>
      </x:c>
    </x:row>
    <x:row r="4">
      <x:c r="A4" s="10" t="str">
        <x:v>Genes</x:v>
      </x:c>
      <x:c r="B4" s="11" t="n">
        <x:v>136</x:v>
      </x:c>
    </x:row>
    <x:row r="5">
      <x:c r="A5" s="10" t="str">
        <x:v>TPM observations</x:v>
      </x:c>
      <x:c r="B5" s="11" t="n">
        <x:v>816</x:v>
      </x:c>
    </x:row>
    <x:row r="6">
      <x:c r="A6" s="10" t="str">
        <x:v>Conditions</x:v>
      </x:c>
      <x:c r="B6" s="11" t="str">
        <x:v>Dan and Mul; three biological samples each (Dan_mg1–3, Mul_mg1–3).</x:v>
      </x:c>
    </x:row>
    <x:row r="7">
      <x:c r="A7" s="10" t="str">
        <x:v>TPM policy</x:v>
      </x:c>
      <x:c r="B7" s="11" t="str">
        <x:v>Six archived sample TPM values are preserved. Recalculated means, SD, delta and log2FC are visible Excel formulas.</x:v>
      </x:c>
    </x:row>
    <x:row r="8">
      <x:c r="A8" s="10" t="str">
        <x:v>Annotation policy</x:v>
      </x:c>
      <x:c r="B8" s="11" t="str">
        <x:v>Evidence is retained separately; EvidenceScore is a triage aid, not a final family assignment.</x:v>
      </x:c>
    </x:row>
    <x:row r="9">
      <x:c r="A9" s="10" t="str">
        <x:v>High-recall warning</x:v>
      </x:c>
      <x:c r="B9" s="11" t="str">
        <x:v>HMM and reference-scan discovery pools intentionally contain false positives and require review.</x:v>
      </x:c>
    </x:row>
    <x:row r="10">
      <x:c r="A10" s="10" t="str">
        <x:v>Missing values</x:v>
      </x:c>
      <x:c r="B10" s="11" t="str">
        <x:v>Blank means unavailable/not applicable; zero means a measured zero or zero motif count.</x:v>
      </x:c>
    </x:row>
    <x:row r="11">
      <x:c r="A11" s="10" t="str">
        <x:v>Version</x:v>
      </x:c>
      <x:c r="B11" s="11" t="str">
        <x:v>2026-08-22</x:v>
      </x:c>
    </x:row>
    <x:row r="12">
      <x:c r="A12" s="12" t="str">
        <x:v>Repository branch</x:v>
      </x:c>
      <x:c r="B12" s="13" t="str">
        <x:v>codex/gene-family-automation-20260819</x:v>
      </x:c>
    </x:row>
    <x:row r="14">
      <x:c r="A14" s="14" t="str">
        <x:v>Sheet</x:v>
      </x:c>
      <x:c r="B14" s="14" t="str">
        <x:v>Purpose</x:v>
      </x:c>
    </x:row>
    <x:row r="15">
      <x:c r="A15" s="6" t="str">
        <x:v>Summary</x:v>
      </x:c>
      <x:c r="B15" s="6" t="str">
        <x:v>Formula-driven family counts and expression/evidence overview.</x:v>
      </x:c>
    </x:row>
    <x:row r="16">
      <x:c r="A16" s="6" t="str">
        <x:v>Gene_Master</x:v>
      </x:c>
      <x:c r="B16" s="6" t="str">
        <x:v>Primary gene-level TPM and annotation table.</x:v>
      </x:c>
    </x:row>
    <x:row r="17">
      <x:c r="A17" s="6" t="str">
        <x:v>TPM_Long</x:v>
      </x:c>
      <x:c r="B17" s="6" t="str">
        <x:v>Tidy sample-level TPM table for R/Python plotting and statistics.</x:v>
      </x:c>
    </x:row>
    <x:row r="18">
      <x:c r="A18" s="6" t="str">
        <x:v>Sources</x:v>
      </x:c>
      <x:c r="B18" s="6" t="str">
        <x:v>SHA-256 manifest of every input used to build the master table.</x:v>
      </x:c>
    </x:row>
    <x:row r="19">
      <x:c r="A19" s="6" t="str">
        <x:v>EvidenceScore</x:v>
      </x:c>
      <x:c r="B19" s="6" t="str">
        <x:v>2 points for defining-domain HQ; 1 each for HMM, strict family-reference hit, Swiss-Prot hit and any PROSITE motif.</x:v>
      </x:c>
    </x:row>
    <x:row r="20">
      <x:c r="A20" s="6" t="str">
        <x:v>ReviewFlag</x:v>
      </x:c>
      <x:c r="B20" s="6" t="str">
        <x:v>Formula-based triage label; manual review and modern topology/signal predictions remain required.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28" customHeight="1">
      <x:c r="A1" s="22" t="str">
        <x:v>Detox family TPM and evidence summary</x:v>
      </x:c>
      <x:c r="B1" s="22"/>
      <x:c r="C1" s="22"/>
      <x:c r="D1" s="22"/>
      <x:c r="E1" s="22"/>
      <x:c r="F1" s="22"/>
      <x:c r="G1" s="22"/>
      <x:c r="H1" s="22"/>
    </x:row>
    <x:row r="3">
      <x:c r="A3" s="16" t="str">
        <x:v>Family</x:v>
      </x:c>
      <x:c r="B3" s="16" t="str">
        <x:v>Broad genes</x:v>
      </x:c>
      <x:c r="C3" s="16" t="str">
        <x:v>Domain HQ</x:v>
      </x:c>
      <x:c r="D3" s="16" t="str">
        <x:v>Historical</x:v>
      </x:c>
      <x:c r="E3" s="16" t="str">
        <x:v>Strong evidence</x:v>
      </x:c>
      <x:c r="F3" s="16" t="str">
        <x:v>Review flagged</x:v>
      </x:c>
      <x:c r="G3" s="16" t="str">
        <x:v>Mean TPM</x:v>
      </x:c>
      <x:c r="H3" s="16" t="str">
        <x:v>Max TPM</x:v>
      </x:c>
    </x:row>
    <x:row r="4">
      <x:c r="A4" s="23" t="str">
        <x:v>CarE</x:v>
      </x:c>
      <x:c r="B4" s="32" t="n">
        <x:f>COUNTIF('Gene_Master'!$A$2:$A$137,A4)</x:f>
        <x:v>20</x:v>
      </x:c>
      <x:c r="C4" s="32" t="n">
        <x:f>COUNTIFS('Gene_Master'!$A$2:$A$137,A4,'Gene_Master'!$Q$2:$Q$137,"provisional_HQ_domain")</x:f>
        <x:v>20</x:v>
      </x:c>
      <x:c r="D4" s="32" t="n">
        <x:f>COUNTIFS('Gene_Master'!$A$2:$A$137,A4,'Gene_Master'!$C$2:$C$137,"yes")</x:f>
        <x:v>20</x:v>
      </x:c>
      <x:c r="E4" s="32" t="n">
        <x:f>COUNTIFS('Gene_Master'!$A$2:$A$137,A4,'Gene_Master'!$BB$2:$BB$137,"&gt;=5")</x:f>
        <x:v>20</x:v>
      </x:c>
      <x:c r="F4" s="32" t="n">
        <x:f>COUNTIFS('Gene_Master'!$A$2:$A$137,A4,'Gene_Master'!$BC$2:$BC$137,"Review")</x:f>
        <x:v>0</x:v>
      </x:c>
      <x:c r="G4" s="35" t="n">
        <x:f>AVERAGEIF('Gene_Master'!$A$2:$A$137,A4,'Gene_Master'!$AZ$2:$AZ$137)</x:f>
        <x:v>104.98868513333335</x:v>
      </x:c>
      <x:c r="H4" s="36" t="n">
        <x:f>MAXIFS('Gene_Master'!$BA$2:$BA$137,'Gene_Master'!$A$2:$A$137,A4)</x:f>
        <x:v>1522.0172830000001</x:v>
      </x:c>
    </x:row>
    <x:row r="5">
      <x:c r="A5" s="26" t="str">
        <x:v>GST</x:v>
      </x:c>
      <x:c r="B5" s="33" t="n">
        <x:f>COUNTIF('Gene_Master'!$A$2:$A$137,A5)</x:f>
        <x:v>20</x:v>
      </x:c>
      <x:c r="C5" s="33" t="n">
        <x:f>COUNTIFS('Gene_Master'!$A$2:$A$137,A5,'Gene_Master'!$Q$2:$Q$137,"provisional_HQ_domain")</x:f>
        <x:v>15</x:v>
      </x:c>
      <x:c r="D5" s="33" t="n">
        <x:f>COUNTIFS('Gene_Master'!$A$2:$A$137,A5,'Gene_Master'!$C$2:$C$137,"yes")</x:f>
        <x:v>9</x:v>
      </x:c>
      <x:c r="E5" s="33" t="n">
        <x:f>COUNTIFS('Gene_Master'!$A$2:$A$137,A5,'Gene_Master'!$BB$2:$BB$137,"&gt;=5")</x:f>
        <x:v>14</x:v>
      </x:c>
      <x:c r="F5" s="33" t="n">
        <x:f>COUNTIFS('Gene_Master'!$A$2:$A$137,A5,'Gene_Master'!$BC$2:$BC$137,"Review")</x:f>
        <x:v>5</x:v>
      </x:c>
      <x:c r="G5" s="37" t="n">
        <x:f>AVERAGEIF('Gene_Master'!$A$2:$A$137,A5,'Gene_Master'!$AZ$2:$AZ$137)</x:f>
        <x:v>58.235043008333335</x:v>
      </x:c>
      <x:c r="H5" s="38" t="n">
        <x:f>MAXIFS('Gene_Master'!$BA$2:$BA$137,'Gene_Master'!$A$2:$A$137,A5)</x:f>
        <x:v>919.627843</x:v>
      </x:c>
    </x:row>
    <x:row r="6">
      <x:c r="A6" s="26" t="str">
        <x:v>UGT</x:v>
      </x:c>
      <x:c r="B6" s="33" t="n">
        <x:f>COUNTIF('Gene_Master'!$A$2:$A$137,A6)</x:f>
        <x:v>36</x:v>
      </x:c>
      <x:c r="C6" s="33" t="n">
        <x:f>COUNTIFS('Gene_Master'!$A$2:$A$137,A6,'Gene_Master'!$Q$2:$Q$137,"provisional_HQ_domain")</x:f>
        <x:v>23</x:v>
      </x:c>
      <x:c r="D6" s="33" t="n">
        <x:f>COUNTIFS('Gene_Master'!$A$2:$A$137,A6,'Gene_Master'!$C$2:$C$137,"yes")</x:f>
        <x:v>13</x:v>
      </x:c>
      <x:c r="E6" s="33" t="n">
        <x:f>COUNTIFS('Gene_Master'!$A$2:$A$137,A6,'Gene_Master'!$BB$2:$BB$137,"&gt;=5")</x:f>
        <x:v>15</x:v>
      </x:c>
      <x:c r="F6" s="33" t="n">
        <x:f>COUNTIFS('Gene_Master'!$A$2:$A$137,A6,'Gene_Master'!$BC$2:$BC$137,"Review")</x:f>
        <x:v>13</x:v>
      </x:c>
      <x:c r="G6" s="37" t="n">
        <x:f>AVERAGEIF('Gene_Master'!$A$2:$A$137,A6,'Gene_Master'!$AZ$2:$AZ$137)</x:f>
        <x:v>11.377991143518516</x:v>
      </x:c>
      <x:c r="H6" s="38" t="n">
        <x:f>MAXIFS('Gene_Master'!$BA$2:$BA$137,'Gene_Master'!$A$2:$A$137,A6)</x:f>
        <x:v>122.10296</x:v>
      </x:c>
    </x:row>
    <x:row r="7">
      <x:c r="A7" s="26" t="str">
        <x:v>SULT</x:v>
      </x:c>
      <x:c r="B7" s="33" t="n">
        <x:f>COUNTIF('Gene_Master'!$A$2:$A$137,A7)</x:f>
        <x:v>11</x:v>
      </x:c>
      <x:c r="C7" s="33" t="n">
        <x:f>COUNTIFS('Gene_Master'!$A$2:$A$137,A7,'Gene_Master'!$Q$2:$Q$137,"provisional_HQ_domain")</x:f>
        <x:v>9</x:v>
      </x:c>
      <x:c r="D7" s="33" t="n">
        <x:f>COUNTIFS('Gene_Master'!$A$2:$A$137,A7,'Gene_Master'!$C$2:$C$137,"yes")</x:f>
        <x:v>7</x:v>
      </x:c>
      <x:c r="E7" s="33" t="n">
        <x:f>COUNTIFS('Gene_Master'!$A$2:$A$137,A7,'Gene_Master'!$BB$2:$BB$137,"&gt;=5")</x:f>
        <x:v>8</x:v>
      </x:c>
      <x:c r="F7" s="33" t="n">
        <x:f>COUNTIFS('Gene_Master'!$A$2:$A$137,A7,'Gene_Master'!$BC$2:$BC$137,"Review")</x:f>
        <x:v>2</x:v>
      </x:c>
      <x:c r="G7" s="37" t="n">
        <x:f>AVERAGEIF('Gene_Master'!$A$2:$A$137,A7,'Gene_Master'!$AZ$2:$AZ$137)</x:f>
        <x:v>76.69867631818181</x:v>
      </x:c>
      <x:c r="H7" s="38" t="n">
        <x:f>MAXIFS('Gene_Master'!$BA$2:$BA$137,'Gene_Master'!$A$2:$A$137,A7)</x:f>
        <x:v>723.701139</x:v>
      </x:c>
    </x:row>
    <x:row r="8">
      <x:c r="A8" s="29" t="str">
        <x:v>ABC</x:v>
      </x:c>
      <x:c r="B8" s="34" t="n">
        <x:f>COUNTIF('Gene_Master'!$A$2:$A$137,A8)</x:f>
        <x:v>49</x:v>
      </x:c>
      <x:c r="C8" s="34" t="n">
        <x:f>COUNTIFS('Gene_Master'!$A$2:$A$137,A8,'Gene_Master'!$Q$2:$Q$137,"provisional_HQ_domain")</x:f>
        <x:v>27</x:v>
      </x:c>
      <x:c r="D8" s="34" t="n">
        <x:f>COUNTIFS('Gene_Master'!$A$2:$A$137,A8,'Gene_Master'!$C$2:$C$137,"yes")</x:f>
        <x:v>34</x:v>
      </x:c>
      <x:c r="E8" s="34" t="n">
        <x:f>COUNTIFS('Gene_Master'!$A$2:$A$137,A8,'Gene_Master'!$BB$2:$BB$137,"&gt;=5")</x:f>
        <x:v>26</x:v>
      </x:c>
      <x:c r="F8" s="34" t="n">
        <x:f>COUNTIFS('Gene_Master'!$A$2:$A$137,A8,'Gene_Master'!$BC$2:$BC$137,"Review")</x:f>
        <x:v>15</x:v>
      </x:c>
      <x:c r="G8" s="39" t="n">
        <x:f>AVERAGEIF('Gene_Master'!$A$2:$A$137,A8,'Gene_Master'!$AZ$2:$AZ$137)</x:f>
        <x:v>4.472319448979593</x:v>
      </x:c>
      <x:c r="H8" s="40" t="n">
        <x:f>MAXIFS('Gene_Master'!$BA$2:$BA$137,'Gene_Master'!$A$2:$A$137,A8)</x:f>
        <x:v>65.343603</x:v>
      </x:c>
    </x:row>
    <x:row r="10">
      <x:c r="A10" s="14" t="str">
        <x:v>QC item</x:v>
      </x:c>
      <x:c r="B10" s="14" t="str">
        <x:v>Value</x:v>
      </x:c>
    </x:row>
    <x:row r="11">
      <x:c r="A11" s="4" t="str">
        <x:v>Master gene rows</x:v>
      </x:c>
      <x:c r="B11" t="n">
        <x:v>136</x:v>
      </x:c>
    </x:row>
    <x:row r="12">
      <x:c r="A12" s="4" t="str">
        <x:v>TPM long rows</x:v>
      </x:c>
      <x:c r="B12" t="n">
        <x:v>816</x:v>
      </x:c>
    </x:row>
    <x:row r="13">
      <x:c r="A13" s="4" t="str">
        <x:v>Input files in source manifest</x:v>
      </x:c>
      <x:c r="B13" t="n">
        <x:v>61</x:v>
      </x:c>
    </x:row>
    <x:row r="14" ht="24" customHeight="1">
      <x:c r="A14" s="4" t="str">
        <x:v>TPM means</x:v>
      </x:c>
      <x:c r="B14" s="6" t="str">
        <x:v>Recomputed from raw triplicates.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6" hidden="0" customWidth="1"/>
    <x:col min="16" max="16" width="14" hidden="0" customWidth="1"/>
    <x:col min="17" max="17" width="26" hidden="0" customWidth="1"/>
    <x:col min="18" max="18" width="14" hidden="0" customWidth="1"/>
    <x:col min="19" max="19" width="26" hidden="0" customWidth="1"/>
    <x:col min="20" max="20" width="48" hidden="0" customWidth="1"/>
    <x:col min="21" max="21" width="26" hidden="0" customWidth="1"/>
    <x:col min="22" max="22" width="48" hidden="0" customWidth="1"/>
    <x:col min="23" max="23" width="14" hidden="0" customWidth="1"/>
    <x:col min="24" max="24" width="48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26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26" hidden="0" customWidth="1"/>
    <x:col min="36" max="36" width="48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26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26" hidden="0" customWidth="1"/>
  </x:cols>
  <x:sheetData>
    <x:row r="1" ht="42" customHeight="1">
      <x:c r="A1" s="16" t="str">
        <x:v>Family</x:v>
      </x:c>
      <x:c r="B1" s="16" t="str">
        <x:v>GeneID</x:v>
      </x:c>
      <x:c r="C1" s="16" t="str">
        <x:v>HistoricalFinal</x:v>
      </x:c>
      <x:c r="D1" s="16" t="str">
        <x:v>TranscriptCount</x:v>
      </x:c>
      <x:c r="E1" s="16" t="str">
        <x:v>Dan_mg1</x:v>
      </x:c>
      <x:c r="F1" s="16" t="str">
        <x:v>Dan_mg2</x:v>
      </x:c>
      <x:c r="G1" s="16" t="str">
        <x:v>Dan_mg3</x:v>
      </x:c>
      <x:c r="H1" s="16" t="str">
        <x:v>Mul_mg1</x:v>
      </x:c>
      <x:c r="I1" s="16" t="str">
        <x:v>Mul_mg2</x:v>
      </x:c>
      <x:c r="J1" s="16" t="str">
        <x:v>Mul_mg3</x:v>
      </x:c>
      <x:c r="K1" s="16" t="str">
        <x:v>Archived_Dan_mean</x:v>
      </x:c>
      <x:c r="L1" s="16" t="str">
        <x:v>Archived_Mul_mean</x:v>
      </x:c>
      <x:c r="M1" s="16" t="str">
        <x:v>Archived_Delta_Mul_minus_Dan</x:v>
      </x:c>
      <x:c r="N1" s="16" t="str">
        <x:v>Best_padj</x:v>
      </x:c>
      <x:c r="O1" s="16" t="str">
        <x:v>RepresentativePeptide</x:v>
      </x:c>
      <x:c r="P1" s="16" t="str">
        <x:v>PeptideLength</x:v>
      </x:c>
      <x:c r="Q1" s="16" t="str">
        <x:v>DomainClassification</x:v>
      </x:c>
      <x:c r="R1" s="16" t="str">
        <x:v>DomainReason</x:v>
      </x:c>
      <x:c r="S1" s="16" t="str">
        <x:v>Domains</x:v>
      </x:c>
      <x:c r="T1" s="16" t="str">
        <x:v>DomainDescriptions</x:v>
      </x:c>
      <x:c r="U1" s="16" t="str">
        <x:v>SecondPassRecommendation</x:v>
      </x:c>
      <x:c r="V1" s="16" t="str">
        <x:v>SecondPassReason</x:v>
      </x:c>
      <x:c r="W1" s="16" t="str">
        <x:v>ABCTriage</x:v>
      </x:c>
      <x:c r="X1" s="16" t="str">
        <x:v>ABCTriageReason</x:v>
      </x:c>
      <x:c r="Y1" s="16" t="str">
        <x:v>ProfileHMMHit</x:v>
      </x:c>
      <x:c r="Z1" s="16" t="str">
        <x:v>NovelProfileHMMHit</x:v>
      </x:c>
      <x:c r="AA1" s="16" t="str">
        <x:v>ReferenceHit_E1e3</x:v>
      </x:c>
      <x:c r="AB1" s="16" t="str">
        <x:v>ReferenceHit_E1e5_Cov40</x:v>
      </x:c>
      <x:c r="AC1" s="16" t="str">
        <x:v>BestFamilyReference</x:v>
      </x:c>
      <x:c r="AD1" s="16" t="str">
        <x:v>BestFamilyReferenceEvalue</x:v>
      </x:c>
      <x:c r="AE1" s="16" t="str">
        <x:v>BestFamilyReferenceBitscore</x:v>
      </x:c>
      <x:c r="AF1" s="16" t="str">
        <x:v>BestFamilyReferenceIdentity</x:v>
      </x:c>
      <x:c r="AG1" s="16" t="str">
        <x:v>BestFamilyReferenceQcov</x:v>
      </x:c>
      <x:c r="AH1" s="16" t="str">
        <x:v>BestFamilyReferenceScov</x:v>
      </x:c>
      <x:c r="AI1" s="16" t="str">
        <x:v>SwissProtTopID</x:v>
      </x:c>
      <x:c r="AJ1" s="16" t="str">
        <x:v>SwissProtTopTitle</x:v>
      </x:c>
      <x:c r="AK1" s="16" t="str">
        <x:v>SwissProtTopEvalue</x:v>
      </x:c>
      <x:c r="AL1" s="16" t="str">
        <x:v>SwissProtTopBitscore</x:v>
      </x:c>
      <x:c r="AM1" s="16" t="str">
        <x:v>SwissProtTopIdentity</x:v>
      </x:c>
      <x:c r="AN1" s="16" t="str">
        <x:v>SwissProtTopQcov</x:v>
      </x:c>
      <x:c r="AO1" s="16" t="str">
        <x:v>SwissProtTopScov</x:v>
      </x:c>
      <x:c r="AP1" s="16" t="str">
        <x:v>PROSITE_Pruned_Count</x:v>
      </x:c>
      <x:c r="AQ1" s="16" t="str">
        <x:v>PROSITE_Full_Count</x:v>
      </x:c>
      <x:c r="AR1" s="16" t="str">
        <x:v>SimilarityComponent</x:v>
      </x:c>
      <x:c r="AS1" s="16" t="str">
        <x:v>SimilarityComponentSize</x:v>
      </x:c>
      <x:c r="AT1" s="16" t="str">
        <x:v>Recalc_Dan_mean</x:v>
      </x:c>
      <x:c r="AU1" s="16" t="str">
        <x:v>Recalc_Dan_sd</x:v>
      </x:c>
      <x:c r="AV1" s="16" t="str">
        <x:v>Recalc_Mul_mean</x:v>
      </x:c>
      <x:c r="AW1" s="16" t="str">
        <x:v>Recalc_Mul_sd</x:v>
      </x:c>
      <x:c r="AX1" s="16" t="str">
        <x:v>Recalc_Delta_Mul_minus_Dan</x:v>
      </x:c>
      <x:c r="AY1" s="16" t="str">
        <x:v>Log2FC_Mul_vs_Dan_plus1</x:v>
      </x:c>
      <x:c r="AZ1" s="16" t="str">
        <x:v>Mean_TPM_all6</x:v>
      </x:c>
      <x:c r="BA1" s="16" t="str">
        <x:v>Max_TPM_all6</x:v>
      </x:c>
      <x:c r="BB1" s="16" t="str">
        <x:v>EvidenceScore</x:v>
      </x:c>
      <x:c r="BC1" s="16" t="str">
        <x:v>ReviewFlag</x:v>
      </x:c>
    </x:row>
    <x:row r="2">
      <x:c r="A2" t="str">
        <x:v>CarE</x:v>
      </x:c>
      <x:c r="B2" t="str">
        <x:v>TRINITY_DN10214_c0_g1</x:v>
      </x:c>
      <x:c r="C2" t="str">
        <x:v>yes</x:v>
      </x:c>
      <x:c r="D2" t="n">
        <x:v>2</x:v>
      </x:c>
      <x:c r="E2" s="17" t="n">
        <x:v>0.202525</x:v>
      </x:c>
      <x:c r="F2" s="17" t="n">
        <x:v>0.401503</x:v>
      </x:c>
      <x:c r="G2" s="17" t="n">
        <x:v>0.481993</x:v>
      </x:c>
      <x:c r="H2" s="17" t="n">
        <x:v>0.387801</x:v>
      </x:c>
      <x:c r="I2" s="17" t="n">
        <x:v>0.512033</x:v>
      </x:c>
      <x:c r="J2" s="17" t="n">
        <x:v>0.15555</x:v>
      </x:c>
      <x:c r="K2" s="17" t="n">
        <x:v>0.31309780000000004</x:v>
      </x:c>
      <x:c r="L2" s="17" t="n">
        <x:v>0.3109846</x:v>
      </x:c>
      <x:c r="M2" s="17" t="n">
        <x:v>-0.0021132000000000373</x:v>
      </x:c>
      <x:c r="N2" s="18" t="n">
        <x:v>0.999999010765626</x:v>
      </x:c>
      <x:c r="O2" t="str">
        <x:v>TRINITY_DN10214_c0_g1_i1.p1</x:v>
      </x:c>
      <x:c r="P2" t="n">
        <x:v>551</x:v>
      </x:c>
      <x:c r="Q2" t="str">
        <x:v>provisional_HQ_domain</x:v>
      </x:c>
      <x:c r="R2" t="str">
        <x:v>family_defining_domain_detected</x:v>
      </x:c>
      <x:c r="S2" t="str">
        <x:v>IPR002018;PF00135</x:v>
      </x:c>
      <x:c r="T2" t="str">
        <x:v>Carboxylesterase family;Carboxylesterase, type B</x:v>
      </x:c>
      <x:c r="U2"/>
      <x:c r="V2"/>
      <x:c r="W2"/>
      <x:c r="X2"/>
      <x:c r="Y2" s="15" t="b">
        <x:v>1</x:v>
      </x:c>
      <x:c r="Z2" s="15" t="b">
        <x:v>0</x:v>
      </x:c>
      <x:c r="AA2" s="15" t="b">
        <x:v>1</x:v>
      </x:c>
      <x:c r="AB2" s="15" t="b">
        <x:v>1</x:v>
      </x:c>
      <x:c r="AC2" t="str">
        <x:v>Spodoptera|XP_035442586.2</x:v>
      </x:c>
      <x:c r="AD2" s="19" t="n">
        <x:v>0</x:v>
      </x:c>
      <x:c r="AE2" t="n">
        <x:v>928</x:v>
      </x:c>
      <x:c r="AF2" t="n">
        <x:v>78.623</x:v>
      </x:c>
      <x:c r="AG2" t="n">
        <x:v>100.364</x:v>
      </x:c>
      <x:c r="AH2" t="n">
        <x:v>99.8192</x:v>
      </x:c>
      <x:c r="AI2" t="str">
        <x:v>sp|D6WMZ8|ESTJ_TRICA</x:v>
      </x:c>
      <x:c r="AJ2" t="str">
        <x:v>sp|D6WMZ8|ESTJ_TRICA Juvenile hormone esterase OS=Tribolium castaneum OX=7070 GN=Tcjhe PE=1 SV=2</x:v>
      </x:c>
      <x:c r="AK2" s="19" t="n">
        <x:v>1.42e-67</x:v>
      </x:c>
      <x:c r="AL2" t="n">
        <x:v>232</x:v>
      </x:c>
      <x:c r="AM2" t="n">
        <x:v>32.4</x:v>
      </x:c>
      <x:c r="AN2" t="n">
        <x:v>101.63636363636364</x:v>
      </x:c>
      <x:c r="AO2" t="n">
        <x:v>95.06802721088435</x:v>
      </x:c>
      <x:c r="AP2" t="n">
        <x:v>2</x:v>
      </x:c>
      <x:c r="AQ2" t="n">
        <x:v>25</x:v>
      </x:c>
      <x:c r="AR2" t="str">
        <x:v>CarE_C001</x:v>
      </x:c>
      <x:c r="AS2" t="n">
        <x:v>20</x:v>
      </x:c>
      <x:c r="AT2" s="17" t="n">
        <x:f>AVERAGE(E2:G2)</x:f>
        <x:v>0.362007</x:v>
      </x:c>
      <x:c r="AU2" s="17" t="n">
        <x:f>STDEV.S(E2:G2)</x:f>
        <x:v>0.14385944970004577</x:v>
      </x:c>
      <x:c r="AV2" s="17" t="n">
        <x:f>AVERAGE(H2:J2)</x:f>
        <x:v>0.3517946666666667</x:v>
      </x:c>
      <x:c r="AW2" s="17" t="n">
        <x:f>STDEV.S(H2:J2)</x:f>
        <x:v>0.18094854061951793</x:v>
      </x:c>
      <x:c r="AX2" s="17" t="n">
        <x:f>AV2-AT2</x:f>
        <x:v>-0.010212333333333323</x:v>
      </x:c>
      <x:c r="AY2" s="17" t="n">
        <x:f>LOG((AV2+1)/(AT2+1),2)</x:f>
        <x:v>-0.010858090613947435</x:v>
      </x:c>
      <x:c r="AZ2" s="17" t="n">
        <x:f>AVERAGE(E2:J2)</x:f>
        <x:v>0.3569008333333334</x:v>
      </x:c>
      <x:c r="BA2" s="17" t="n">
        <x:f>MAX(E2:J2)</x:f>
        <x:v>0.512033</x:v>
      </x:c>
      <x:c r="BB2" s="20" t="n">
        <x:f>IF(Q2="provisional_HQ_domain",2,0)+IF(Y2,1,0)+IF(AB2,1,0)+IF(AI2&lt;&gt;"",1,0)+IF(AP2+AQ2&gt;0,1,0)</x:f>
        <x:v>6</x:v>
      </x:c>
      <x:c r="BC2" t="str">
        <x:f>IF(OR(ISNUMBER(SEARCH("exclude",U2)),ISNUMBER(SEARCH("hold",U2)),ISNUMBER(SEARCH("hold",W2))),"Review",IF(BB2&gt;=5,"Strong multi-evidence",IF(BB2&gt;=3,"Supported","Weak/inspect")))</x:f>
        <x:v>Strong multi-evidence</x:v>
      </x:c>
    </x:row>
    <x:row r="3">
      <x:c r="A3" t="str">
        <x:v>CarE</x:v>
      </x:c>
      <x:c r="B3" t="str">
        <x:v>TRINITY_DN1194_c0_g1</x:v>
      </x:c>
      <x:c r="C3" t="str">
        <x:v>yes</x:v>
      </x:c>
      <x:c r="D3" t="n">
        <x:v>6</x:v>
      </x:c>
      <x:c r="E3" s="17" t="n">
        <x:v>8.243196</x:v>
      </x:c>
      <x:c r="F3" s="17" t="n">
        <x:v>11.593958</x:v>
      </x:c>
      <x:c r="G3" s="17" t="n">
        <x:v>5.352087</x:v>
      </x:c>
      <x:c r="H3" s="17" t="n">
        <x:v>8.909136</x:v>
      </x:c>
      <x:c r="I3" s="17" t="n">
        <x:v>10.842778</x:v>
      </x:c>
      <x:c r="J3" s="17" t="n">
        <x:v>22.938625</x:v>
      </x:c>
      <x:c r="K3" s="17" t="n">
        <x:v>7.8121042</x:v>
      </x:c>
      <x:c r="L3" s="17" t="n">
        <x:v>12.788510800000001</x:v>
      </x:c>
      <x:c r="M3" s="17" t="n">
        <x:v>4.976406600000001</x:v>
      </x:c>
      <x:c r="N3" s="18" t="n">
        <x:v>0.035084715722654</x:v>
      </x:c>
      <x:c r="O3" t="str">
        <x:v>TRINITY_DN1194_c0_g1_i10.p1</x:v>
      </x:c>
      <x:c r="P3" t="n">
        <x:v>736</x:v>
      </x:c>
      <x:c r="Q3" t="str">
        <x:v>provisional_HQ_domain</x:v>
      </x:c>
      <x:c r="R3" t="str">
        <x:v>family_defining_domain_detected</x:v>
      </x:c>
      <x:c r="S3" t="str">
        <x:v>IPR002018;PF00135</x:v>
      </x:c>
      <x:c r="T3" t="str">
        <x:v>Carboxylesterase family;Carboxylesterase, type B</x:v>
      </x:c>
      <x:c r="U3"/>
      <x:c r="V3"/>
      <x:c r="W3"/>
      <x:c r="X3"/>
      <x:c r="Y3" s="15" t="b">
        <x:v>1</x:v>
      </x:c>
      <x:c r="Z3" s="15" t="b">
        <x:v>0</x:v>
      </x:c>
      <x:c r="AA3" s="15" t="b">
        <x:v>1</x:v>
      </x:c>
      <x:c r="AB3" s="15" t="b">
        <x:v>1</x:v>
      </x:c>
      <x:c r="AC3" t="str">
        <x:v>Spodoptera|XP_035456135.2</x:v>
      </x:c>
      <x:c r="AD3" s="19" t="n">
        <x:v>0</x:v>
      </x:c>
      <x:c r="AE3" t="n">
        <x:v>1184</x:v>
      </x:c>
      <x:c r="AF3" t="n">
        <x:v>77.147</x:v>
      </x:c>
      <x:c r="AG3" t="n">
        <x:v>102.993</x:v>
      </x:c>
      <x:c r="AH3" t="n">
        <x:v>100.933</x:v>
      </x:c>
      <x:c r="AI3" t="str">
        <x:v>sp|P12992|ESTJ_HELVI</x:v>
      </x:c>
      <x:c r="AJ3" t="str">
        <x:v>sp|P12992|ESTJ_HELVI Juvenile hormone esterase OS=Heliothis virescens OX=7102 PE=1 SV=2</x:v>
      </x:c>
      <x:c r="AK3" s="19" t="n">
        <x:v>1.34e-79</x:v>
      </x:c>
      <x:c r="AL3" t="n">
        <x:v>268</x:v>
      </x:c>
      <x:c r="AM3" t="n">
        <x:v>35</x:v>
      </x:c>
      <x:c r="AN3" t="n">
        <x:v>68.70748299319727</x:v>
      </x:c>
      <x:c r="AO3" t="n">
        <x:v>89.53900709219859</x:v>
      </x:c>
      <x:c r="AP3" t="n">
        <x:v>0</x:v>
      </x:c>
      <x:c r="AQ3" t="n">
        <x:v>0</x:v>
      </x:c>
      <x:c r="AR3" t="str">
        <x:v>CarE_C001</x:v>
      </x:c>
      <x:c r="AS3" t="n">
        <x:v>20</x:v>
      </x:c>
      <x:c r="AT3" s="17" t="n">
        <x:f>AVERAGE(E3:G3)</x:f>
        <x:v>8.396413666666666</x:v>
      </x:c>
      <x:c r="AU3" s="17" t="n">
        <x:f>STDEV.S(E3:G3)</x:f>
        <x:v>3.123754973616583</x:v>
      </x:c>
      <x:c r="AV3" s="17" t="n">
        <x:f>AVERAGE(H3:J3)</x:f>
        <x:v>14.230179666666666</x:v>
      </x:c>
      <x:c r="AW3" s="17" t="n">
        <x:f>STDEV.S(H3:J3)</x:f>
        <x:v>7.603453684923866</x:v>
      </x:c>
      <x:c r="AX3" s="17" t="n">
        <x:f>AV3-AT3</x:f>
        <x:v>5.833766000000001</x:v>
      </x:c>
      <x:c r="AY3" s="17" t="n">
        <x:f>LOG((AV3+1)/(AT3+1),2)</x:f>
        <x:v>0.6967508281362312</x:v>
      </x:c>
      <x:c r="AZ3" s="17" t="n">
        <x:f>AVERAGE(E3:J3)</x:f>
        <x:v>11.313296666666666</x:v>
      </x:c>
      <x:c r="BA3" s="17" t="n">
        <x:f>MAX(E3:J3)</x:f>
        <x:v>22.938625</x:v>
      </x:c>
      <x:c r="BB3" s="20" t="n">
        <x:f>IF(Q3="provisional_HQ_domain",2,0)+IF(Y3,1,0)+IF(AB3,1,0)+IF(AI3&lt;&gt;"",1,0)+IF(AP3+AQ3&gt;0,1,0)</x:f>
        <x:v>5</x:v>
      </x:c>
      <x:c r="BC3" t="str">
        <x:f>IF(OR(ISNUMBER(SEARCH("exclude",U3)),ISNUMBER(SEARCH("hold",U3)),ISNUMBER(SEARCH("hold",W3))),"Review",IF(BB3&gt;=5,"Strong multi-evidence",IF(BB3&gt;=3,"Supported","Weak/inspect")))</x:f>
        <x:v>Strong multi-evidence</x:v>
      </x:c>
    </x:row>
    <x:row r="4">
      <x:c r="A4" t="str">
        <x:v>CarE</x:v>
      </x:c>
      <x:c r="B4" t="str">
        <x:v>TRINITY_DN13111_c1_g1</x:v>
      </x:c>
      <x:c r="C4" t="str">
        <x:v>yes</x:v>
      </x:c>
      <x:c r="D4" t="n">
        <x:v>5</x:v>
      </x:c>
      <x:c r="E4" s="17" t="n">
        <x:v>0.483457</x:v>
      </x:c>
      <x:c r="F4" s="17" t="n">
        <x:v>0.703705</x:v>
      </x:c>
      <x:c r="G4" s="17" t="n">
        <x:v>0.438018</x:v>
      </x:c>
      <x:c r="H4" s="17" t="n">
        <x:v>0.6163409999999999</x:v>
      </x:c>
      <x:c r="I4" s="17" t="n">
        <x:v>0.5152220000000001</x:v>
      </x:c>
      <x:c r="J4" s="17" t="n">
        <x:v>0.49023100000000003</x:v>
      </x:c>
      <x:c r="K4" s="17" t="n">
        <x:v>0.49520282600000004</x:v>
      </x:c>
      <x:c r="L4" s="17" t="n">
        <x:v>0.52624174</x:v>
      </x:c>
      <x:c r="M4" s="17" t="n">
        <x:v>0.031038913999999973</x:v>
      </x:c>
      <x:c r="N4" s="18" t="n">
        <x:v>0.23365636946044</x:v>
      </x:c>
      <x:c r="O4" t="str">
        <x:v>TRINITY_DN13111_c1_g1_i1.p1</x:v>
      </x:c>
      <x:c r="P4" t="n">
        <x:v>529</x:v>
      </x:c>
      <x:c r="Q4" t="str">
        <x:v>provisional_HQ_domain</x:v>
      </x:c>
      <x:c r="R4" t="str">
        <x:v>family_defining_domain_detected</x:v>
      </x:c>
      <x:c r="S4" t="str">
        <x:v>IPR002018;PF00135</x:v>
      </x:c>
      <x:c r="T4" t="str">
        <x:v>Carboxylesterase family;Carboxylesterase, type B</x:v>
      </x:c>
      <x:c r="U4"/>
      <x:c r="V4"/>
      <x:c r="W4"/>
      <x:c r="X4"/>
      <x:c r="Y4" s="15" t="b">
        <x:v>1</x:v>
      </x:c>
      <x:c r="Z4" s="15" t="b">
        <x:v>0</x:v>
      </x:c>
      <x:c r="AA4" s="15" t="b">
        <x:v>1</x:v>
      </x:c>
      <x:c r="AB4" s="15" t="b">
        <x:v>1</x:v>
      </x:c>
      <x:c r="AC4" t="str">
        <x:v>Spodoptera|XP_035451693.2</x:v>
      </x:c>
      <x:c r="AD4" s="19" t="n">
        <x:v>0</x:v>
      </x:c>
      <x:c r="AE4" t="n">
        <x:v>725</x:v>
      </x:c>
      <x:c r="AF4" t="n">
        <x:v>66.73</x:v>
      </x:c>
      <x:c r="AG4" t="n">
        <x:v>99.6212</x:v>
      </x:c>
      <x:c r="AH4" t="n">
        <x:v>99.6212</x:v>
      </x:c>
      <x:c r="AI4" t="str">
        <x:v>sp|P35501|ESTE_MYZPE</x:v>
      </x:c>
      <x:c r="AJ4" t="str">
        <x:v>sp|P35501|ESTE_MYZPE Esterase E4 OS=Myzus persicae OX=13164 PE=1 SV=1</x:v>
      </x:c>
      <x:c r="AK4" s="19" t="n">
        <x:v>3.8e-46</x:v>
      </x:c>
      <x:c r="AL4" t="n">
        <x:v>172</x:v>
      </x:c>
      <x:c r="AM4" t="n">
        <x:v>29.1</x:v>
      </x:c>
      <x:c r="AN4" t="n">
        <x:v>100.18939393939394</x:v>
      </x:c>
      <x:c r="AO4" t="n">
        <x:v>95.83333333333333</x:v>
      </x:c>
      <x:c r="AP4" t="n">
        <x:v>0</x:v>
      </x:c>
      <x:c r="AQ4" t="n">
        <x:v>0</x:v>
      </x:c>
      <x:c r="AR4" t="str">
        <x:v>CarE_C001</x:v>
      </x:c>
      <x:c r="AS4" t="n">
        <x:v>20</x:v>
      </x:c>
      <x:c r="AT4" s="17" t="n">
        <x:f>AVERAGE(E4:G4)</x:f>
        <x:v>0.5417266666666667</x:v>
      </x:c>
      <x:c r="AU4" s="17" t="n">
        <x:f>STDEV.S(E4:G4)</x:f>
        <x:v>0.14210528150752644</x:v>
      </x:c>
      <x:c r="AV4" s="17" t="n">
        <x:f>AVERAGE(H4:J4)</x:f>
        <x:v>0.540598</x:v>
      </x:c>
      <x:c r="AW4" s="17" t="n">
        <x:f>STDEV.S(H4:J4)</x:f>
        <x:v>0.06677491338070002</x:v>
      </x:c>
      <x:c r="AX4" s="17" t="n">
        <x:f>AV4-AT4</x:f>
        <x:v>-0.0011286666666666667</x:v>
      </x:c>
      <x:c r="AY4" s="17" t="n">
        <x:f>LOG((AV4+1)/(AT4+1),2)</x:f>
        <x:v>-0.0010565544202417389</x:v>
      </x:c>
      <x:c r="AZ4" s="17" t="n">
        <x:f>AVERAGE(E4:J4)</x:f>
        <x:v>0.5411623333333334</x:v>
      </x:c>
      <x:c r="BA4" s="17" t="n">
        <x:f>MAX(E4:J4)</x:f>
        <x:v>0.703705</x:v>
      </x:c>
      <x:c r="BB4" s="20" t="n">
        <x:f>IF(Q4="provisional_HQ_domain",2,0)+IF(Y4,1,0)+IF(AB4,1,0)+IF(AI4&lt;&gt;"",1,0)+IF(AP4+AQ4&gt;0,1,0)</x:f>
        <x:v>5</x:v>
      </x:c>
      <x:c r="BC4" t="str">
        <x:f>IF(OR(ISNUMBER(SEARCH("exclude",U4)),ISNUMBER(SEARCH("hold",U4)),ISNUMBER(SEARCH("hold",W4))),"Review",IF(BB4&gt;=5,"Strong multi-evidence",IF(BB4&gt;=3,"Supported","Weak/inspect")))</x:f>
        <x:v>Strong multi-evidence</x:v>
      </x:c>
    </x:row>
    <x:row r="5">
      <x:c r="A5" t="str">
        <x:v>CarE</x:v>
      </x:c>
      <x:c r="B5" t="str">
        <x:v>TRINITY_DN1740_c0_g3</x:v>
      </x:c>
      <x:c r="C5" t="str">
        <x:v>yes</x:v>
      </x:c>
      <x:c r="D5" t="n">
        <x:v>2</x:v>
      </x:c>
      <x:c r="E5" s="17" t="n">
        <x:v>3.412963</x:v>
      </x:c>
      <x:c r="F5" s="17" t="n">
        <x:v>5.313427</x:v>
      </x:c>
      <x:c r="G5" s="17" t="n">
        <x:v>1.844601</x:v>
      </x:c>
      <x:c r="H5" s="17" t="n">
        <x:v>7.907323</x:v>
      </x:c>
      <x:c r="I5" s="17" t="n">
        <x:v>8.185565</x:v>
      </x:c>
      <x:c r="J5" s="17" t="n">
        <x:v>10.349802</x:v>
      </x:c>
      <x:c r="K5" s="17" t="n">
        <x:v>3.1025902</x:v>
      </x:c>
      <x:c r="L5" s="17" t="n">
        <x:v>7.3468132</x:v>
      </x:c>
      <x:c r="M5" s="17" t="n">
        <x:v>4.244223</x:v>
      </x:c>
      <x:c r="N5" s="18" t="n">
        <x:v>0.520869738847594</x:v>
      </x:c>
      <x:c r="O5" t="str">
        <x:v>TRINITY_DN1740_c0_g3_i1.p1</x:v>
      </x:c>
      <x:c r="P5" t="n">
        <x:v>539</x:v>
      </x:c>
      <x:c r="Q5" t="str">
        <x:v>provisional_HQ_domain</x:v>
      </x:c>
      <x:c r="R5" t="str">
        <x:v>family_defining_domain_detected</x:v>
      </x:c>
      <x:c r="S5" t="str">
        <x:v>IPR002018;PF00135</x:v>
      </x:c>
      <x:c r="T5" t="str">
        <x:v>Carboxylesterase family;Carboxylesterase, type B</x:v>
      </x:c>
      <x:c r="U5"/>
      <x:c r="V5"/>
      <x:c r="W5"/>
      <x:c r="X5"/>
      <x:c r="Y5" s="15" t="b">
        <x:v>1</x:v>
      </x:c>
      <x:c r="Z5" s="15" t="b">
        <x:v>0</x:v>
      </x:c>
      <x:c r="AA5" s="15" t="b">
        <x:v>1</x:v>
      </x:c>
      <x:c r="AB5" s="15" t="b">
        <x:v>1</x:v>
      </x:c>
      <x:c r="AC5" t="str">
        <x:v>Spodoptera|XP_035459067.2</x:v>
      </x:c>
      <x:c r="AD5" s="19" t="n">
        <x:v>0</x:v>
      </x:c>
      <x:c r="AE5" t="n">
        <x:v>831</x:v>
      </x:c>
      <x:c r="AF5" t="n">
        <x:v>69.759</x:v>
      </x:c>
      <x:c r="AG5" t="n">
        <x:v>100</x:v>
      </x:c>
      <x:c r="AH5" t="n">
        <x:v>98.7179</x:v>
      </x:c>
      <x:c r="AI5" t="str">
        <x:v>sp|P12992|ESTJ_HELVI</x:v>
      </x:c>
      <x:c r="AJ5" t="str">
        <x:v>sp|P12992|ESTJ_HELVI Juvenile hormone esterase OS=Heliothis virescens OX=7102 PE=1 SV=2</x:v>
      </x:c>
      <x:c r="AK5" s="19" t="n">
        <x:v>3.74e-64</x:v>
      </x:c>
      <x:c r="AL5" t="n">
        <x:v>222</x:v>
      </x:c>
      <x:c r="AM5" t="n">
        <x:v>32.9</x:v>
      </x:c>
      <x:c r="AN5" t="n">
        <x:v>93.50649350649351</x:v>
      </x:c>
      <x:c r="AO5" t="n">
        <x:v>89.36170212765957</x:v>
      </x:c>
      <x:c r="AP5" t="n">
        <x:v>0</x:v>
      </x:c>
      <x:c r="AQ5" t="n">
        <x:v>0</x:v>
      </x:c>
      <x:c r="AR5" t="str">
        <x:v>CarE_C001</x:v>
      </x:c>
      <x:c r="AS5" t="n">
        <x:v>20</x:v>
      </x:c>
      <x:c r="AT5" s="17" t="n">
        <x:f>AVERAGE(E5:G5)</x:f>
        <x:v>3.5236636666666663</x:v>
      </x:c>
      <x:c r="AU5" s="17" t="n">
        <x:f>STDEV.S(E5:G5)</x:f>
        <x:v>1.737060572567731</x:v>
      </x:c>
      <x:c r="AV5" s="17" t="n">
        <x:f>AVERAGE(H5:J5)</x:f>
        <x:v>8.81423</x:v>
      </x:c>
      <x:c r="AW5" s="17" t="n">
        <x:f>STDEV.S(H5:J5)</x:f>
        <x:v>1.3371015960012165</x:v>
      </x:c>
      <x:c r="AX5" s="17" t="n">
        <x:f>AV5-AT5</x:f>
        <x:v>5.290566333333334</x:v>
      </x:c>
      <x:c r="AY5" s="17" t="n">
        <x:f>LOG((AV5+1)/(AT5+1),2)</x:f>
        <x:v>1.1173834126011182</x:v>
      </x:c>
      <x:c r="AZ5" s="17" t="n">
        <x:f>AVERAGE(E5:J5)</x:f>
        <x:v>6.168946833333333</x:v>
      </x:c>
      <x:c r="BA5" s="17" t="n">
        <x:f>MAX(E5:J5)</x:f>
        <x:v>10.349802</x:v>
      </x:c>
      <x:c r="BB5" s="20" t="n">
        <x:f>IF(Q5="provisional_HQ_domain",2,0)+IF(Y5,1,0)+IF(AB5,1,0)+IF(AI5&lt;&gt;"",1,0)+IF(AP5+AQ5&gt;0,1,0)</x:f>
        <x:v>5</x:v>
      </x:c>
      <x:c r="BC5" t="str">
        <x:f>IF(OR(ISNUMBER(SEARCH("exclude",U5)),ISNUMBER(SEARCH("hold",U5)),ISNUMBER(SEARCH("hold",W5))),"Review",IF(BB5&gt;=5,"Strong multi-evidence",IF(BB5&gt;=3,"Supported","Weak/inspect")))</x:f>
        <x:v>Strong multi-evidence</x:v>
      </x:c>
    </x:row>
    <x:row r="6">
      <x:c r="A6" t="str">
        <x:v>CarE</x:v>
      </x:c>
      <x:c r="B6" t="str">
        <x:v>TRINITY_DN22_c1_g1</x:v>
      </x:c>
      <x:c r="C6" t="str">
        <x:v>yes</x:v>
      </x:c>
      <x:c r="D6" t="n">
        <x:v>7</x:v>
      </x:c>
      <x:c r="E6" s="17" t="n">
        <x:v>94.046204</x:v>
      </x:c>
      <x:c r="F6" s="17" t="n">
        <x:v>109.988953</x:v>
      </x:c>
      <x:c r="G6" s="17" t="n">
        <x:v>39.345527</x:v>
      </x:c>
      <x:c r="H6" s="17" t="n">
        <x:v>63.689823000000004</x:v>
      </x:c>
      <x:c r="I6" s="17" t="n">
        <x:v>49.329521</x:v>
      </x:c>
      <x:c r="J6" s="17" t="n">
        <x:v>67.72452</x:v>
      </x:c>
      <x:c r="K6" s="17" t="n">
        <x:v>71.7812945</x:v>
      </x:c>
      <x:c r="L6" s="17" t="n">
        <x:v>50.2445552</x:v>
      </x:c>
      <x:c r="M6" s="17" t="n">
        <x:v>-21.5367393</x:v>
      </x:c>
      <x:c r="N6" s="18" t="n">
        <x:v>0.55139103322048</x:v>
      </x:c>
      <x:c r="O6" t="str">
        <x:v>TRINITY_DN22_c1_g1_i12.p1</x:v>
      </x:c>
      <x:c r="P6" t="n">
        <x:v>494</x:v>
      </x:c>
      <x:c r="Q6" t="str">
        <x:v>provisional_HQ_domain</x:v>
      </x:c>
      <x:c r="R6" t="str">
        <x:v>family_defining_domain_detected</x:v>
      </x:c>
      <x:c r="S6" t="str">
        <x:v>IPR001926;IPR002018;PF00135;PF00291</x:v>
      </x:c>
      <x:c r="T6" t="str">
        <x:v>Carboxylesterase family;Carboxylesterase, type B;Pyridoxal-phosphate dependent enzyme</x:v>
      </x:c>
      <x:c r="U6"/>
      <x:c r="V6"/>
      <x:c r="W6"/>
      <x:c r="X6"/>
      <x:c r="Y6" s="15" t="b">
        <x:v>1</x:v>
      </x:c>
      <x:c r="Z6" s="15" t="b">
        <x:v>0</x:v>
      </x:c>
      <x:c r="AA6" s="15" t="b">
        <x:v>1</x:v>
      </x:c>
      <x:c r="AB6" s="15" t="b">
        <x:v>1</x:v>
      </x:c>
      <x:c r="AC6" t="str">
        <x:v>Spodoptera|XP_050549265.1</x:v>
      </x:c>
      <x:c r="AD6" s="19" t="n">
        <x:v>0</x:v>
      </x:c>
      <x:c r="AE6" t="n">
        <x:v>835</x:v>
      </x:c>
      <x:c r="AF6" t="n">
        <x:v>81.136</x:v>
      </x:c>
      <x:c r="AG6" t="n">
        <x:v>100</x:v>
      </x:c>
      <x:c r="AH6" t="n">
        <x:v>92.6692</x:v>
      </x:c>
      <x:c r="AI6" t="str">
        <x:v>sp|D6WMZ8|ESTJ_TRICA</x:v>
      </x:c>
      <x:c r="AJ6" t="str">
        <x:v>sp|D6WMZ8|ESTJ_TRICA Juvenile hormone esterase OS=Tribolium castaneum OX=7070 GN=Tcjhe PE=1 SV=2</x:v>
      </x:c>
      <x:c r="AK6" s="19" t="n">
        <x:v>6.8e-67</x:v>
      </x:c>
      <x:c r="AL6" t="n">
        <x:v>228</x:v>
      </x:c>
      <x:c r="AM6" t="n">
        <x:v>34.2</x:v>
      </x:c>
      <x:c r="AN6" t="n">
        <x:v>96.14604462474645</x:v>
      </x:c>
      <x:c r="AO6" t="n">
        <x:v>80.61224489795919</x:v>
      </x:c>
      <x:c r="AP6" t="n">
        <x:v>0</x:v>
      </x:c>
      <x:c r="AQ6" t="n">
        <x:v>0</x:v>
      </x:c>
      <x:c r="AR6" t="str">
        <x:v>CarE_C001</x:v>
      </x:c>
      <x:c r="AS6" t="n">
        <x:v>20</x:v>
      </x:c>
      <x:c r="AT6" s="17" t="n">
        <x:f>AVERAGE(E6:G6)</x:f>
        <x:v>81.12689466666667</x:v>
      </x:c>
      <x:c r="AU6" s="17" t="n">
        <x:f>STDEV.S(E6:G6)</x:f>
        <x:v>37.05138087159687</x:v>
      </x:c>
      <x:c r="AV6" s="17" t="n">
        <x:f>AVERAGE(H6:J6)</x:f>
        <x:v>60.247954666666665</x:v>
      </x:c>
      <x:c r="AW6" s="17" t="n">
        <x:f>STDEV.S(H6:J6)</x:f>
        <x:v>9.668445597432006</x:v>
      </x:c>
      <x:c r="AX6" s="17" t="n">
        <x:f>AV6-AT6</x:f>
        <x:v>-20.878940000000007</x:v>
      </x:c>
      <x:c r="AY6" s="17" t="n">
        <x:f>LOG((AV6+1)/(AT6+1),2)</x:f>
        <x:v>-0.4231930816688519</x:v>
      </x:c>
      <x:c r="AZ6" s="17" t="n">
        <x:f>AVERAGE(E6:J6)</x:f>
        <x:v>70.68742466666667</x:v>
      </x:c>
      <x:c r="BA6" s="17" t="n">
        <x:f>MAX(E6:J6)</x:f>
        <x:v>109.988953</x:v>
      </x:c>
      <x:c r="BB6" s="20" t="n">
        <x:f>IF(Q6="provisional_HQ_domain",2,0)+IF(Y6,1,0)+IF(AB6,1,0)+IF(AI6&lt;&gt;"",1,0)+IF(AP6+AQ6&gt;0,1,0)</x:f>
        <x:v>5</x:v>
      </x:c>
      <x:c r="BC6" t="str">
        <x:f>IF(OR(ISNUMBER(SEARCH("exclude",U6)),ISNUMBER(SEARCH("hold",U6)),ISNUMBER(SEARCH("hold",W6))),"Review",IF(BB6&gt;=5,"Strong multi-evidence",IF(BB6&gt;=3,"Supported","Weak/inspect")))</x:f>
        <x:v>Strong multi-evidence</x:v>
      </x:c>
    </x:row>
    <x:row r="7">
      <x:c r="A7" t="str">
        <x:v>CarE</x:v>
      </x:c>
      <x:c r="B7" t="str">
        <x:v>TRINITY_DN22_c2_g1</x:v>
      </x:c>
      <x:c r="C7" t="str">
        <x:v>yes</x:v>
      </x:c>
      <x:c r="D7" t="n">
        <x:v>1</x:v>
      </x:c>
      <x:c r="E7" s="17" t="n">
        <x:v>5.728978</x:v>
      </x:c>
      <x:c r="F7" s="17" t="n">
        <x:v>8.329708</x:v>
      </x:c>
      <x:c r="G7" s="17" t="n">
        <x:v>7.30494</x:v>
      </x:c>
      <x:c r="H7" s="17" t="n">
        <x:v>7.244254</x:v>
      </x:c>
      <x:c r="I7" s="17" t="n">
        <x:v>6.256051</x:v>
      </x:c>
      <x:c r="J7" s="17" t="n">
        <x:v>7.466169</x:v>
      </x:c>
      <x:c r="K7" s="17" t="n">
        <x:v>5.9108992</x:v>
      </x:c>
      <x:c r="L7" s="17" t="n">
        <x:v>5.696260799999999</x:v>
      </x:c>
      <x:c r="M7" s="17" t="n">
        <x:v>-0.214638400000001</x:v>
      </x:c>
      <x:c r="N7" s="18" t="n">
        <x:v>0.999999010765626</x:v>
      </x:c>
      <x:c r="O7" t="str">
        <x:v>TRINITY_DN22_c2_g1_i1.p1</x:v>
      </x:c>
      <x:c r="P7" t="n">
        <x:v>557</x:v>
      </x:c>
      <x:c r="Q7" t="str">
        <x:v>provisional_HQ_domain</x:v>
      </x:c>
      <x:c r="R7" t="str">
        <x:v>family_defining_domain_detected</x:v>
      </x:c>
      <x:c r="S7" t="str">
        <x:v>IPR002018;PF00135</x:v>
      </x:c>
      <x:c r="T7" t="str">
        <x:v>Carboxylesterase family;Carboxylesterase, type B</x:v>
      </x:c>
      <x:c r="U7"/>
      <x:c r="V7"/>
      <x:c r="W7"/>
      <x:c r="X7"/>
      <x:c r="Y7" s="15" t="b">
        <x:v>1</x:v>
      </x:c>
      <x:c r="Z7" s="15" t="b">
        <x:v>0</x:v>
      </x:c>
      <x:c r="AA7" s="15" t="b">
        <x:v>1</x:v>
      </x:c>
      <x:c r="AB7" s="15" t="b">
        <x:v>1</x:v>
      </x:c>
      <x:c r="AC7" t="str">
        <x:v>Spodoptera|XP_035438336.2</x:v>
      </x:c>
      <x:c r="AD7" s="19" t="n">
        <x:v>0</x:v>
      </x:c>
      <x:c r="AE7" t="n">
        <x:v>935</x:v>
      </x:c>
      <x:c r="AF7" t="n">
        <x:v>78.058</x:v>
      </x:c>
      <x:c r="AG7" t="n">
        <x:v>100</x:v>
      </x:c>
      <x:c r="AH7" t="n">
        <x:v>100.542</x:v>
      </x:c>
      <x:c r="AI7" t="str">
        <x:v>sp|D6WMZ8|ESTJ_TRICA</x:v>
      </x:c>
      <x:c r="AJ7" t="str">
        <x:v>sp|D6WMZ8|ESTJ_TRICA Juvenile hormone esterase OS=Tribolium castaneum OX=7070 GN=Tcjhe PE=1 SV=2</x:v>
      </x:c>
      <x:c r="AK7" s="19" t="n">
        <x:v>1.29e-60</x:v>
      </x:c>
      <x:c r="AL7" t="n">
        <x:v>213</x:v>
      </x:c>
      <x:c r="AM7" t="n">
        <x:v>30.8</x:v>
      </x:c>
      <x:c r="AN7" t="n">
        <x:v>101.61870503597122</x:v>
      </x:c>
      <x:c r="AO7" t="n">
        <x:v>96.08843537414965</x:v>
      </x:c>
      <x:c r="AP7" t="n">
        <x:v>0</x:v>
      </x:c>
      <x:c r="AQ7" t="n">
        <x:v>0</x:v>
      </x:c>
      <x:c r="AR7" t="str">
        <x:v>CarE_C001</x:v>
      </x:c>
      <x:c r="AS7" t="n">
        <x:v>20</x:v>
      </x:c>
      <x:c r="AT7" s="17" t="n">
        <x:f>AVERAGE(E7:G7)</x:f>
        <x:v>7.121208666666667</x:v>
      </x:c>
      <x:c r="AU7" s="17" t="n">
        <x:f>STDEV.S(E7:G7)</x:f>
        <x:v>1.3100637524034218</x:v>
      </x:c>
      <x:c r="AV7" s="17" t="n">
        <x:f>AVERAGE(H7:J7)</x:f>
        <x:v>6.988824666666667</x:v>
      </x:c>
      <x:c r="AW7" s="17" t="n">
        <x:f>STDEV.S(H7:J7)</x:f>
        <x:v>0.6442278337097311</x:v>
      </x:c>
      <x:c r="AX7" s="17" t="n">
        <x:f>AV7-AT7</x:f>
        <x:v>-0.13238400000000006</x:v>
      </x:c>
      <x:c r="AY7" s="17" t="n">
        <x:f>LOG((AV7+1)/(AT7+1),2)</x:f>
        <x:v>-0.023711191095637095</x:v>
      </x:c>
      <x:c r="AZ7" s="17" t="n">
        <x:f>AVERAGE(E7:J7)</x:f>
        <x:v>7.055016666666667</x:v>
      </x:c>
      <x:c r="BA7" s="17" t="n">
        <x:f>MAX(E7:J7)</x:f>
        <x:v>8.329708</x:v>
      </x:c>
      <x:c r="BB7" s="20" t="n">
        <x:f>IF(Q7="provisional_HQ_domain",2,0)+IF(Y7,1,0)+IF(AB7,1,0)+IF(AI7&lt;&gt;"",1,0)+IF(AP7+AQ7&gt;0,1,0)</x:f>
        <x:v>5</x:v>
      </x:c>
      <x:c r="BC7" t="str">
        <x:f>IF(OR(ISNUMBER(SEARCH("exclude",U7)),ISNUMBER(SEARCH("hold",U7)),ISNUMBER(SEARCH("hold",W7))),"Review",IF(BB7&gt;=5,"Strong multi-evidence",IF(BB7&gt;=3,"Supported","Weak/inspect")))</x:f>
        <x:v>Strong multi-evidence</x:v>
      </x:c>
    </x:row>
    <x:row r="8">
      <x:c r="A8" t="str">
        <x:v>CarE</x:v>
      </x:c>
      <x:c r="B8" t="str">
        <x:v>TRINITY_DN2312_c0_g1</x:v>
      </x:c>
      <x:c r="C8" t="str">
        <x:v>yes</x:v>
      </x:c>
      <x:c r="D8" t="n">
        <x:v>10</x:v>
      </x:c>
      <x:c r="E8" s="17" t="n">
        <x:v>122.281248</x:v>
      </x:c>
      <x:c r="F8" s="17" t="n">
        <x:v>273.593183</x:v>
      </x:c>
      <x:c r="G8" s="17" t="n">
        <x:v>45.191125</x:v>
      </x:c>
      <x:c r="H8" s="17" t="n">
        <x:v>35.55659</x:v>
      </x:c>
      <x:c r="I8" s="17" t="n">
        <x:v>33.592735</x:v>
      </x:c>
      <x:c r="J8" s="17" t="n">
        <x:v>34.845456</x:v>
      </x:c>
      <x:c r="K8" s="17" t="n">
        <x:v>139.7093436</x:v>
      </x:c>
      <x:c r="L8" s="17" t="n">
        <x:v>29.618521699999995</x:v>
      </x:c>
      <x:c r="M8" s="17" t="n">
        <x:v>-110.09082190000001</x:v>
      </x:c>
      <x:c r="N8" s="18" t="n">
        <x:v>0.00158095965890287</x:v>
      </x:c>
      <x:c r="O8" t="str">
        <x:v>TRINITY_DN2312_c0_g1_i11.p1</x:v>
      </x:c>
      <x:c r="P8" t="n">
        <x:v>536</x:v>
      </x:c>
      <x:c r="Q8" t="str">
        <x:v>provisional_HQ_domain</x:v>
      </x:c>
      <x:c r="R8" t="str">
        <x:v>family_defining_domain_detected</x:v>
      </x:c>
      <x:c r="S8" t="str">
        <x:v>IPR002018;PF00135</x:v>
      </x:c>
      <x:c r="T8" t="str">
        <x:v>Carboxylesterase family;Carboxylesterase, type B</x:v>
      </x:c>
      <x:c r="U8"/>
      <x:c r="V8"/>
      <x:c r="W8"/>
      <x:c r="X8"/>
      <x:c r="Y8" s="15" t="b">
        <x:v>1</x:v>
      </x:c>
      <x:c r="Z8" s="15" t="b">
        <x:v>0</x:v>
      </x:c>
      <x:c r="AA8" s="15" t="b">
        <x:v>1</x:v>
      </x:c>
      <x:c r="AB8" s="15" t="b">
        <x:v>1</x:v>
      </x:c>
      <x:c r="AC8" t="str">
        <x:v>Spodoptera|XP_035450368.2</x:v>
      </x:c>
      <x:c r="AD8" s="19" t="n">
        <x:v>0</x:v>
      </x:c>
      <x:c r="AE8" t="n">
        <x:v>880</x:v>
      </x:c>
      <x:c r="AF8" t="n">
        <x:v>75.651</x:v>
      </x:c>
      <x:c r="AG8" t="n">
        <x:v>100.561</x:v>
      </x:c>
      <x:c r="AH8" t="n">
        <x:v>100</x:v>
      </x:c>
      <x:c r="AI8" t="str">
        <x:v>sp|P12992|ESTJ_HELVI</x:v>
      </x:c>
      <x:c r="AJ8" t="str">
        <x:v>sp|P12992|ESTJ_HELVI Juvenile hormone esterase OS=Heliothis virescens OX=7102 PE=1 SV=2</x:v>
      </x:c>
      <x:c r="AK8" s="19" t="n">
        <x:v>5.52e-82</x:v>
      </x:c>
      <x:c r="AL8" t="n">
        <x:v>269</x:v>
      </x:c>
      <x:c r="AM8" t="n">
        <x:v>33.5</x:v>
      </x:c>
      <x:c r="AN8" t="n">
        <x:v>99.25233644859813</x:v>
      </x:c>
      <x:c r="AO8" t="n">
        <x:v>94.14893617021276</x:v>
      </x:c>
      <x:c r="AP8" t="n">
        <x:v>0</x:v>
      </x:c>
      <x:c r="AQ8" t="n">
        <x:v>0</x:v>
      </x:c>
      <x:c r="AR8" t="str">
        <x:v>CarE_C001</x:v>
      </x:c>
      <x:c r="AS8" t="n">
        <x:v>20</x:v>
      </x:c>
      <x:c r="AT8" s="17" t="n">
        <x:f>AVERAGE(E8:G8)</x:f>
        <x:v>147.021852</x:v>
      </x:c>
      <x:c r="AU8" s="17" t="n">
        <x:f>STDEV.S(E8:G8)</x:f>
        <x:v>116.19358045680687</x:v>
      </x:c>
      <x:c r="AV8" s="17" t="n">
        <x:f>AVERAGE(H8:J8)</x:f>
        <x:v>34.664927</x:v>
      </x:c>
      <x:c r="AW8" s="17" t="n">
        <x:f>STDEV.S(H8:J8)</x:f>
        <x:v>0.9942960601033287</x:v>
      </x:c>
      <x:c r="AX8" s="17" t="n">
        <x:f>AV8-AT8</x:f>
        <x:v>-112.35692499999999</x:v>
      </x:c>
      <x:c r="AY8" s="17" t="n">
        <x:f>LOG((AV8+1)/(AT8+1),2)</x:f>
        <x:v>-2.053232246376287</x:v>
      </x:c>
      <x:c r="AZ8" s="17" t="n">
        <x:f>AVERAGE(E8:J8)</x:f>
        <x:v>90.8433895</x:v>
      </x:c>
      <x:c r="BA8" s="17" t="n">
        <x:f>MAX(E8:J8)</x:f>
        <x:v>273.593183</x:v>
      </x:c>
      <x:c r="BB8" s="20" t="n">
        <x:f>IF(Q8="provisional_HQ_domain",2,0)+IF(Y8,1,0)+IF(AB8,1,0)+IF(AI8&lt;&gt;"",1,0)+IF(AP8+AQ8&gt;0,1,0)</x:f>
        <x:v>5</x:v>
      </x:c>
      <x:c r="BC8" t="str">
        <x:f>IF(OR(ISNUMBER(SEARCH("exclude",U8)),ISNUMBER(SEARCH("hold",U8)),ISNUMBER(SEARCH("hold",W8))),"Review",IF(BB8&gt;=5,"Strong multi-evidence",IF(BB8&gt;=3,"Supported","Weak/inspect")))</x:f>
        <x:v>Strong multi-evidence</x:v>
      </x:c>
    </x:row>
    <x:row r="9">
      <x:c r="A9" t="str">
        <x:v>CarE</x:v>
      </x:c>
      <x:c r="B9" t="str">
        <x:v>TRINITY_DN235_c0_g1</x:v>
      </x:c>
      <x:c r="C9" t="str">
        <x:v>yes</x:v>
      </x:c>
      <x:c r="D9" t="n">
        <x:v>9</x:v>
      </x:c>
      <x:c r="E9" s="17" t="n">
        <x:v>20.578737</x:v>
      </x:c>
      <x:c r="F9" s="17" t="n">
        <x:v>27.055259000000003</x:v>
      </x:c>
      <x:c r="G9" s="17" t="n">
        <x:v>13.283896</x:v>
      </x:c>
      <x:c r="H9" s="17" t="n">
        <x:v>21.453209</x:v>
      </x:c>
      <x:c r="I9" s="17" t="n">
        <x:v>27.683482</x:v>
      </x:c>
      <x:c r="J9" s="17" t="n">
        <x:v>29.514065000000002</x:v>
      </x:c>
      <x:c r="K9" s="17" t="n">
        <x:v>17.812277180000002</x:v>
      </x:c>
      <x:c r="L9" s="17" t="n">
        <x:v>22.7935448</x:v>
      </x:c>
      <x:c r="M9" s="17" t="n">
        <x:v>4.981267619999997</x:v>
      </x:c>
      <x:c r="N9" s="18" t="n">
        <x:v>0.418803407403831</x:v>
      </x:c>
      <x:c r="O9" t="str">
        <x:v>TRINITY_DN235_c0_g1_i1.p1</x:v>
      </x:c>
      <x:c r="P9" t="n">
        <x:v>331</x:v>
      </x:c>
      <x:c r="Q9" t="str">
        <x:v>provisional_HQ_domain</x:v>
      </x:c>
      <x:c r="R9" t="str">
        <x:v>family_defining_domain_detected</x:v>
      </x:c>
      <x:c r="S9" t="str">
        <x:v>IPR002018;PF00135</x:v>
      </x:c>
      <x:c r="T9" t="str">
        <x:v>Carboxylesterase family;Carboxylesterase, type B</x:v>
      </x:c>
      <x:c r="U9"/>
      <x:c r="V9"/>
      <x:c r="W9"/>
      <x:c r="X9"/>
      <x:c r="Y9" s="15" t="b">
        <x:v>1</x:v>
      </x:c>
      <x:c r="Z9" s="15" t="b">
        <x:v>0</x:v>
      </x:c>
      <x:c r="AA9" s="15" t="b">
        <x:v>1</x:v>
      </x:c>
      <x:c r="AB9" s="15" t="b">
        <x:v>1</x:v>
      </x:c>
      <x:c r="AC9" t="str">
        <x:v>Spodoptera|XP_035430420.2</x:v>
      </x:c>
      <x:c r="AD9" s="19" t="n">
        <x:v>0</x:v>
      </x:c>
      <x:c r="AE9" t="n">
        <x:v>533</x:v>
      </x:c>
      <x:c r="AF9" t="n">
        <x:v>76.524</x:v>
      </x:c>
      <x:c r="AG9" t="n">
        <x:v>99.0937</x:v>
      </x:c>
      <x:c r="AH9" t="n">
        <x:v>59.2058</x:v>
      </x:c>
      <x:c r="AI9" t="str">
        <x:v>sp|P37967|PNBA_BACSU</x:v>
      </x:c>
      <x:c r="AJ9" t="str">
        <x:v>sp|P37967|PNBA_BACSU Para-nitrobenzyl esterase OS=Bacillus subtilis (strain 168) OX=224308 GN=pnbA PE=1 SV=2</x:v>
      </x:c>
      <x:c r="AK9" s="19" t="n">
        <x:v>2.6e-46</x:v>
      </x:c>
      <x:c r="AL9" t="n">
        <x:v>166</x:v>
      </x:c>
      <x:c r="AM9" t="n">
        <x:v>34.5</x:v>
      </x:c>
      <x:c r="AN9" t="n">
        <x:v>94.5619335347432</x:v>
      </x:c>
      <x:c r="AO9" t="n">
        <x:v>64.0081799591002</x:v>
      </x:c>
      <x:c r="AP9" t="n">
        <x:v>0</x:v>
      </x:c>
      <x:c r="AQ9" t="n">
        <x:v>0</x:v>
      </x:c>
      <x:c r="AR9" t="str">
        <x:v>CarE_C001</x:v>
      </x:c>
      <x:c r="AS9" t="n">
        <x:v>20</x:v>
      </x:c>
      <x:c r="AT9" s="17" t="n">
        <x:f>AVERAGE(E9:G9)</x:f>
        <x:v>20.305964</x:v>
      </x:c>
      <x:c r="AU9" s="17" t="n">
        <x:f>STDEV.S(E9:G9)</x:f>
        <x:v>6.889732473150828</x:v>
      </x:c>
      <x:c r="AV9" s="17" t="n">
        <x:f>AVERAGE(H9:J9)</x:f>
        <x:v>26.21691866666667</x:v>
      </x:c>
      <x:c r="AW9" s="17" t="n">
        <x:f>STDEV.S(H9:J9)</x:f>
        <x:v>4.225808309802082</x:v>
      </x:c>
      <x:c r="AX9" s="17" t="n">
        <x:f>AV9-AT9</x:f>
        <x:v>5.910954666666669</x:v>
      </x:c>
      <x:c r="AY9" s="17" t="n">
        <x:f>LOG((AV9+1)/(AT9+1),2)</x:f>
        <x:v>0.3532464144447094</x:v>
      </x:c>
      <x:c r="AZ9" s="17" t="n">
        <x:f>AVERAGE(E9:J9)</x:f>
        <x:v>23.261441333333334</x:v>
      </x:c>
      <x:c r="BA9" s="17" t="n">
        <x:f>MAX(E9:J9)</x:f>
        <x:v>29.514065000000002</x:v>
      </x:c>
      <x:c r="BB9" s="20" t="n">
        <x:f>IF(Q9="provisional_HQ_domain",2,0)+IF(Y9,1,0)+IF(AB9,1,0)+IF(AI9&lt;&gt;"",1,0)+IF(AP9+AQ9&gt;0,1,0)</x:f>
        <x:v>5</x:v>
      </x:c>
      <x:c r="BC9" t="str">
        <x:f>IF(OR(ISNUMBER(SEARCH("exclude",U9)),ISNUMBER(SEARCH("hold",U9)),ISNUMBER(SEARCH("hold",W9))),"Review",IF(BB9&gt;=5,"Strong multi-evidence",IF(BB9&gt;=3,"Supported","Weak/inspect")))</x:f>
        <x:v>Strong multi-evidence</x:v>
      </x:c>
    </x:row>
    <x:row r="10">
      <x:c r="A10" t="str">
        <x:v>CarE</x:v>
      </x:c>
      <x:c r="B10" t="str">
        <x:v>TRINITY_DN25123_c0_g1</x:v>
      </x:c>
      <x:c r="C10" t="str">
        <x:v>yes</x:v>
      </x:c>
      <x:c r="D10" t="n">
        <x:v>1</x:v>
      </x:c>
      <x:c r="E10" s="17" t="n">
        <x:v>0.14831</x:v>
      </x:c>
      <x:c r="F10" s="17" t="n">
        <x:v>0.310312</x:v>
      </x:c>
      <x:c r="G10" s="17" t="n">
        <x:v>0.223771</x:v>
      </x:c>
      <x:c r="H10" s="17" t="n">
        <x:v>0.151037</x:v>
      </x:c>
      <x:c r="I10" s="17" t="n">
        <x:v>0.146694</x:v>
      </x:c>
      <x:c r="J10" s="17" t="n">
        <x:v>0.105728</x:v>
      </x:c>
      <x:c r="K10" s="17" t="n">
        <x:v>0.19520911999999999</x:v>
      </x:c>
      <x:c r="L10" s="17" t="n">
        <x:v>0.11167148</x:v>
      </x:c>
      <x:c r="M10" s="17" t="n">
        <x:v>-0.08353763999999998</x:v>
      </x:c>
      <x:c r="N10" s="18" t="n">
        <x:v>0.699840144961767</x:v>
      </x:c>
      <x:c r="O10" t="str">
        <x:v>TRINITY_DN25123_c0_g1_i1.p1</x:v>
      </x:c>
      <x:c r="P10" t="n">
        <x:v>427</x:v>
      </x:c>
      <x:c r="Q10" t="str">
        <x:v>provisional_HQ_domain</x:v>
      </x:c>
      <x:c r="R10" t="str">
        <x:v>family_defining_domain_detected</x:v>
      </x:c>
      <x:c r="S10" t="str">
        <x:v>IPR002018;PF00135</x:v>
      </x:c>
      <x:c r="T10" t="str">
        <x:v>Carboxylesterase family;Carboxylesterase, type B</x:v>
      </x:c>
      <x:c r="U10"/>
      <x:c r="V10"/>
      <x:c r="W10"/>
      <x:c r="X10"/>
      <x:c r="Y10" s="15" t="b">
        <x:v>1</x:v>
      </x:c>
      <x:c r="Z10" s="15" t="b">
        <x:v>0</x:v>
      </x:c>
      <x:c r="AA10" s="15" t="b">
        <x:v>1</x:v>
      </x:c>
      <x:c r="AB10" s="15" t="b">
        <x:v>1</x:v>
      </x:c>
      <x:c r="AC10" t="str">
        <x:v>Spodoptera|XP_050560005.1</x:v>
      </x:c>
      <x:c r="AD10" s="19" t="n">
        <x:v>0</x:v>
      </x:c>
      <x:c r="AE10" t="n">
        <x:v>694</x:v>
      </x:c>
      <x:c r="AF10" t="n">
        <x:v>77.91</x:v>
      </x:c>
      <x:c r="AG10" t="n">
        <x:v>98.5948</x:v>
      </x:c>
      <x:c r="AH10" t="n">
        <x:v>73.8596</x:v>
      </x:c>
      <x:c r="AI10" t="str">
        <x:v>sp|D6WMZ8|ESTJ_TRICA</x:v>
      </x:c>
      <x:c r="AJ10" t="str">
        <x:v>sp|D6WMZ8|ESTJ_TRICA Juvenile hormone esterase OS=Tribolium castaneum OX=7070 GN=Tcjhe PE=1 SV=2</x:v>
      </x:c>
      <x:c r="AK10" s="19" t="n">
        <x:v>7.29e-40</x:v>
      </x:c>
      <x:c r="AL10" t="n">
        <x:v>153</x:v>
      </x:c>
      <x:c r="AM10" t="n">
        <x:v>30.6</x:v>
      </x:c>
      <x:c r="AN10" t="n">
        <x:v>84.30913348946136</x:v>
      </x:c>
      <x:c r="AO10" t="n">
        <x:v>61.224489795918366</x:v>
      </x:c>
      <x:c r="AP10" t="n">
        <x:v>0</x:v>
      </x:c>
      <x:c r="AQ10" t="n">
        <x:v>0</x:v>
      </x:c>
      <x:c r="AR10" t="str">
        <x:v>CarE_C001</x:v>
      </x:c>
      <x:c r="AS10" t="n">
        <x:v>20</x:v>
      </x:c>
      <x:c r="AT10" s="17" t="n">
        <x:f>AVERAGE(E10:G10)</x:f>
        <x:v>0.22746433333333335</x:v>
      </x:c>
      <x:c r="AU10" s="17" t="n">
        <x:f>STDEV.S(E10:G10)</x:f>
        <x:v>0.08106412606284812</x:v>
      </x:c>
      <x:c r="AV10" s="17" t="n">
        <x:f>AVERAGE(H10:J10)</x:f>
        <x:v>0.13448633333333332</x:v>
      </x:c>
      <x:c r="AW10" s="17" t="n">
        <x:f>STDEV.S(H10:J10)</x:f>
        <x:v>0.0249999342865803</x:v>
      </x:c>
      <x:c r="AX10" s="17" t="n">
        <x:f>AV10-AT10</x:f>
        <x:v>-0.09297800000000003</x:v>
      </x:c>
      <x:c r="AY10" s="17" t="n">
        <x:f>LOG((AV10+1)/(AT10+1),2)</x:f>
        <x:v>-0.11364187489123297</x:v>
      </x:c>
      <x:c r="AZ10" s="17" t="n">
        <x:f>AVERAGE(E10:J10)</x:f>
        <x:v>0.18097533333333335</x:v>
      </x:c>
      <x:c r="BA10" s="17" t="n">
        <x:f>MAX(E10:J10)</x:f>
        <x:v>0.310312</x:v>
      </x:c>
      <x:c r="BB10" s="20" t="n">
        <x:f>IF(Q10="provisional_HQ_domain",2,0)+IF(Y10,1,0)+IF(AB10,1,0)+IF(AI10&lt;&gt;"",1,0)+IF(AP10+AQ10&gt;0,1,0)</x:f>
        <x:v>5</x:v>
      </x:c>
      <x:c r="BC10" t="str">
        <x:f>IF(OR(ISNUMBER(SEARCH("exclude",U10)),ISNUMBER(SEARCH("hold",U10)),ISNUMBER(SEARCH("hold",W10))),"Review",IF(BB10&gt;=5,"Strong multi-evidence",IF(BB10&gt;=3,"Supported","Weak/inspect")))</x:f>
        <x:v>Strong multi-evidence</x:v>
      </x:c>
    </x:row>
    <x:row r="11">
      <x:c r="A11" t="str">
        <x:v>CarE</x:v>
      </x:c>
      <x:c r="B11" t="str">
        <x:v>TRINITY_DN256_c0_g1</x:v>
      </x:c>
      <x:c r="C11" t="str">
        <x:v>yes</x:v>
      </x:c>
      <x:c r="D11" t="n">
        <x:v>8</x:v>
      </x:c>
      <x:c r="E11" s="17" t="n">
        <x:v>68.639888</x:v>
      </x:c>
      <x:c r="F11" s="17" t="n">
        <x:v>76.05456699999999</x:v>
      </x:c>
      <x:c r="G11" s="17" t="n">
        <x:v>71.633096</x:v>
      </x:c>
      <x:c r="H11" s="17" t="n">
        <x:v>68.429578</x:v>
      </x:c>
      <x:c r="I11" s="17" t="n">
        <x:v>63.202992</x:v>
      </x:c>
      <x:c r="J11" s="17" t="n">
        <x:v>88.187764</x:v>
      </x:c>
      <x:c r="K11" s="17" t="n">
        <x:v>64.2307054</x:v>
      </x:c>
      <x:c r="L11" s="17" t="n">
        <x:v>62.576572</x:v>
      </x:c>
      <x:c r="M11" s="17" t="n">
        <x:v>-1.6541334000000063</x:v>
      </x:c>
      <x:c r="N11" s="18" t="n">
        <x:v>0.589785080321804</x:v>
      </x:c>
      <x:c r="O11" t="str">
        <x:v>TRINITY_DN256_c0_g1_i8.p1</x:v>
      </x:c>
      <x:c r="P11" t="n">
        <x:v>642</x:v>
      </x:c>
      <x:c r="Q11" t="str">
        <x:v>provisional_HQ_domain</x:v>
      </x:c>
      <x:c r="R11" t="str">
        <x:v>family_defining_domain_detected</x:v>
      </x:c>
      <x:c r="S11" t="str">
        <x:v>IPR002018;PF00135</x:v>
      </x:c>
      <x:c r="T11" t="str">
        <x:v>Carboxylesterase family;Carboxylesterase, type B</x:v>
      </x:c>
      <x:c r="U11"/>
      <x:c r="V11"/>
      <x:c r="W11"/>
      <x:c r="X11"/>
      <x:c r="Y11" s="15" t="b">
        <x:v>1</x:v>
      </x:c>
      <x:c r="Z11" s="15" t="b">
        <x:v>0</x:v>
      </x:c>
      <x:c r="AA11" s="15" t="b">
        <x:v>1</x:v>
      </x:c>
      <x:c r="AB11" s="15" t="b">
        <x:v>1</x:v>
      </x:c>
      <x:c r="AC11" t="str">
        <x:v>Spodoptera|XP_035452555.2</x:v>
      </x:c>
      <x:c r="AD11" s="19" t="n">
        <x:v>0</x:v>
      </x:c>
      <x:c r="AE11" t="n">
        <x:v>726</x:v>
      </x:c>
      <x:c r="AF11" t="n">
        <x:v>61.416</x:v>
      </x:c>
      <x:c r="AG11" t="n">
        <x:v>88.1435</x:v>
      </x:c>
      <x:c r="AH11" t="n">
        <x:v>90.1116</x:v>
      </x:c>
      <x:c r="AI11" t="str">
        <x:v>sp|B2D0J5|EST6_APIME</x:v>
      </x:c>
      <x:c r="AJ11" t="str">
        <x:v>sp|B2D0J5|EST6_APIME Venom carboxylesterase-6 OS=Apis mellifera OX=7460 PE=2 SV=1</x:v>
      </x:c>
      <x:c r="AK11" s="19" t="n">
        <x:v>1.05e-46</x:v>
      </x:c>
      <x:c r="AL11" t="n">
        <x:v>176</x:v>
      </x:c>
      <x:c r="AM11" t="n">
        <x:v>27.5</x:v>
      </x:c>
      <x:c r="AN11" t="n">
        <x:v>83.30733229329174</x:v>
      </x:c>
      <x:c r="AO11" t="n">
        <x:v>95.87073608617594</x:v>
      </x:c>
      <x:c r="AP11" t="n">
        <x:v>0</x:v>
      </x:c>
      <x:c r="AQ11" t="n">
        <x:v>0</x:v>
      </x:c>
      <x:c r="AR11" t="str">
        <x:v>CarE_C001</x:v>
      </x:c>
      <x:c r="AS11" t="n">
        <x:v>20</x:v>
      </x:c>
      <x:c r="AT11" s="17" t="n">
        <x:f>AVERAGE(E11:G11)</x:f>
        <x:v>72.10918366666667</x:v>
      </x:c>
      <x:c r="AU11" s="17" t="n">
        <x:f>STDEV.S(E11:G11)</x:f>
        <x:v>3.730195808268556</x:v>
      </x:c>
      <x:c r="AV11" s="17" t="n">
        <x:f>AVERAGE(H11:J11)</x:f>
        <x:v>73.27344466666666</x:v>
      </x:c>
      <x:c r="AW11" s="17" t="n">
        <x:f>STDEV.S(H11:J11)</x:f>
        <x:v>13.177897828801425</x:v>
      </x:c>
      <x:c r="AX11" s="17" t="n">
        <x:f>AV11-AT11</x:f>
        <x:v>1.1642609999999962</x:v>
      </x:c>
      <x:c r="AY11" s="17" t="n">
        <x:f>LOG((AV11+1)/(AT11+1),2)</x:f>
        <x:v>0.022793846607372974</x:v>
      </x:c>
      <x:c r="AZ11" s="17" t="n">
        <x:f>AVERAGE(E11:J11)</x:f>
        <x:v>72.69131416666667</x:v>
      </x:c>
      <x:c r="BA11" s="17" t="n">
        <x:f>MAX(E11:J11)</x:f>
        <x:v>88.187764</x:v>
      </x:c>
      <x:c r="BB11" s="20" t="n">
        <x:f>IF(Q11="provisional_HQ_domain",2,0)+IF(Y11,1,0)+IF(AB11,1,0)+IF(AI11&lt;&gt;"",1,0)+IF(AP11+AQ11&gt;0,1,0)</x:f>
        <x:v>5</x:v>
      </x:c>
      <x:c r="BC11" t="str">
        <x:f>IF(OR(ISNUMBER(SEARCH("exclude",U11)),ISNUMBER(SEARCH("hold",U11)),ISNUMBER(SEARCH("hold",W11))),"Review",IF(BB11&gt;=5,"Strong multi-evidence",IF(BB11&gt;=3,"Supported","Weak/inspect")))</x:f>
        <x:v>Strong multi-evidence</x:v>
      </x:c>
    </x:row>
    <x:row r="12">
      <x:c r="A12" t="str">
        <x:v>CarE</x:v>
      </x:c>
      <x:c r="B12" t="str">
        <x:v>TRINITY_DN3016_c0_g1</x:v>
      </x:c>
      <x:c r="C12" t="str">
        <x:v>yes</x:v>
      </x:c>
      <x:c r="D12" t="n">
        <x:v>4</x:v>
      </x:c>
      <x:c r="E12" s="17" t="n">
        <x:v>24.182643</x:v>
      </x:c>
      <x:c r="F12" s="17" t="n">
        <x:v>23.102034</x:v>
      </x:c>
      <x:c r="G12" s="17" t="n">
        <x:v>4.213123</x:v>
      </x:c>
      <x:c r="H12" s="17" t="n">
        <x:v>56.771411</x:v>
      </x:c>
      <x:c r="I12" s="17" t="n">
        <x:v>47.238597999999996</x:v>
      </x:c>
      <x:c r="J12" s="17" t="n">
        <x:v>56.849317</x:v>
      </x:c>
      <x:c r="K12" s="17" t="n">
        <x:v>15.573428519999998</x:v>
      </x:c>
      <x:c r="L12" s="17" t="n">
        <x:v>53.2075852</x:v>
      </x:c>
      <x:c r="M12" s="17" t="n">
        <x:v>37.63415668</x:v>
      </x:c>
      <x:c r="N12" s="18" t="n">
        <x:v>0.00846467006094978</x:v>
      </x:c>
      <x:c r="O12" t="str">
        <x:v>TRINITY_DN3016_c0_g1_i1.p1</x:v>
      </x:c>
      <x:c r="P12" t="n">
        <x:v>587</x:v>
      </x:c>
      <x:c r="Q12" t="str">
        <x:v>provisional_HQ_domain</x:v>
      </x:c>
      <x:c r="R12" t="str">
        <x:v>family_defining_domain_detected</x:v>
      </x:c>
      <x:c r="S12" t="str">
        <x:v>IPR002018;PF00135</x:v>
      </x:c>
      <x:c r="T12" t="str">
        <x:v>Carboxylesterase family;Carboxylesterase, type B</x:v>
      </x:c>
      <x:c r="U12"/>
      <x:c r="V12"/>
      <x:c r="W12"/>
      <x:c r="X12"/>
      <x:c r="Y12" s="15" t="b">
        <x:v>1</x:v>
      </x:c>
      <x:c r="Z12" s="15" t="b">
        <x:v>0</x:v>
      </x:c>
      <x:c r="AA12" s="15" t="b">
        <x:v>1</x:v>
      </x:c>
      <x:c r="AB12" s="15" t="b">
        <x:v>1</x:v>
      </x:c>
      <x:c r="AC12" t="str">
        <x:v>Spodoptera|XP_035435877.2</x:v>
      </x:c>
      <x:c r="AD12" s="19" t="n">
        <x:v>0</x:v>
      </x:c>
      <x:c r="AE12" t="n">
        <x:v>897</x:v>
      </x:c>
      <x:c r="AF12" t="n">
        <x:v>74.276</x:v>
      </x:c>
      <x:c r="AG12" t="n">
        <x:v>97.8333</x:v>
      </x:c>
      <x:c r="AH12" t="n">
        <x:v>100.342</x:v>
      </x:c>
      <x:c r="AI12" t="str">
        <x:v>sp|D6WMZ8|ESTJ_TRICA</x:v>
      </x:c>
      <x:c r="AJ12" t="str">
        <x:v>sp|D6WMZ8|ESTJ_TRICA Juvenile hormone esterase OS=Tribolium castaneum OX=7070 GN=Tcjhe PE=1 SV=2</x:v>
      </x:c>
      <x:c r="AK12" s="19" t="n">
        <x:v>4.64e-65</x:v>
      </x:c>
      <x:c r="AL12" t="n">
        <x:v>226</x:v>
      </x:c>
      <x:c r="AM12" t="n">
        <x:v>31.6</x:v>
      </x:c>
      <x:c r="AN12" t="n">
        <x:v>87.5</x:v>
      </x:c>
      <x:c r="AO12" t="n">
        <x:v>89.28571428571429</x:v>
      </x:c>
      <x:c r="AP12" t="n">
        <x:v>0</x:v>
      </x:c>
      <x:c r="AQ12" t="n">
        <x:v>0</x:v>
      </x:c>
      <x:c r="AR12" t="str">
        <x:v>CarE_C001</x:v>
      </x:c>
      <x:c r="AS12" t="n">
        <x:v>20</x:v>
      </x:c>
      <x:c r="AT12" s="17" t="n">
        <x:f>AVERAGE(E12:G12)</x:f>
        <x:v>17.165933333333335</x:v>
      </x:c>
      <x:c r="AU12" s="17" t="n">
        <x:f>STDEV.S(E12:G12)</x:f>
        <x:v>11.230467514809895</x:v>
      </x:c>
      <x:c r="AV12" s="17" t="n">
        <x:f>AVERAGE(H12:J12)</x:f>
        <x:v>53.61977533333334</x:v>
      </x:c>
      <x:c r="AW12" s="17" t="n">
        <x:f>STDEV.S(H12:J12)</x:f>
        <x:v>5.526398959159061</x:v>
      </x:c>
      <x:c r="AX12" s="17" t="n">
        <x:f>AV12-AT12</x:f>
        <x:v>36.453842</x:v>
      </x:c>
      <x:c r="AY12" s="17" t="n">
        <x:f>LOG((AV12+1)/(AT12+1),2)</x:f>
        <x:v>1.5881878891385437</x:v>
      </x:c>
      <x:c r="AZ12" s="17" t="n">
        <x:f>AVERAGE(E12:J12)</x:f>
        <x:v>35.39285433333333</x:v>
      </x:c>
      <x:c r="BA12" s="17" t="n">
        <x:f>MAX(E12:J12)</x:f>
        <x:v>56.849317</x:v>
      </x:c>
      <x:c r="BB12" s="20" t="n">
        <x:f>IF(Q12="provisional_HQ_domain",2,0)+IF(Y12,1,0)+IF(AB12,1,0)+IF(AI12&lt;&gt;"",1,0)+IF(AP12+AQ12&gt;0,1,0)</x:f>
        <x:v>5</x:v>
      </x:c>
      <x:c r="BC12" t="str">
        <x:f>IF(OR(ISNUMBER(SEARCH("exclude",U12)),ISNUMBER(SEARCH("hold",U12)),ISNUMBER(SEARCH("hold",W12))),"Review",IF(BB12&gt;=5,"Strong multi-evidence",IF(BB12&gt;=3,"Supported","Weak/inspect")))</x:f>
        <x:v>Strong multi-evidence</x:v>
      </x:c>
    </x:row>
    <x:row r="13">
      <x:c r="A13" t="str">
        <x:v>CarE</x:v>
      </x:c>
      <x:c r="B13" t="str">
        <x:v>TRINITY_DN5029_c0_g1</x:v>
      </x:c>
      <x:c r="C13" t="str">
        <x:v>yes</x:v>
      </x:c>
      <x:c r="D13" t="n">
        <x:v>2</x:v>
      </x:c>
      <x:c r="E13" s="17" t="n">
        <x:v>0.114009</x:v>
      </x:c>
      <x:c r="F13" s="17" t="n">
        <x:v>3.564317</x:v>
      </x:c>
      <x:c r="G13" s="17" t="n">
        <x:v>0.159466</x:v>
      </x:c>
      <x:c r="H13" s="17" t="n">
        <x:v>5.405727000000001</x:v>
      </x:c>
      <x:c r="I13" s="17" t="n">
        <x:v>2.689457</x:v>
      </x:c>
      <x:c r="J13" s="17" t="n">
        <x:v>1.137344</x:v>
      </x:c>
      <x:c r="K13" s="17" t="n">
        <x:v>1.3473848</x:v>
      </x:c>
      <x:c r="L13" s="17" t="n">
        <x:v>2.9239058</x:v>
      </x:c>
      <x:c r="M13" s="17" t="n">
        <x:v>1.576521</x:v>
      </x:c>
      <x:c r="N13" s="18" t="n">
        <x:v>0.987273471440539</x:v>
      </x:c>
      <x:c r="O13" t="str">
        <x:v>TRINITY_DN5029_c0_g1_i1.p1</x:v>
      </x:c>
      <x:c r="P13" t="n">
        <x:v>592</x:v>
      </x:c>
      <x:c r="Q13" t="str">
        <x:v>provisional_HQ_domain</x:v>
      </x:c>
      <x:c r="R13" t="str">
        <x:v>family_defining_domain_detected</x:v>
      </x:c>
      <x:c r="S13" t="str">
        <x:v>IPR002018;PF00135</x:v>
      </x:c>
      <x:c r="T13" t="str">
        <x:v>Carboxylesterase family;Carboxylesterase, type B</x:v>
      </x:c>
      <x:c r="U13"/>
      <x:c r="V13"/>
      <x:c r="W13"/>
      <x:c r="X13"/>
      <x:c r="Y13" s="15" t="b">
        <x:v>1</x:v>
      </x:c>
      <x:c r="Z13" s="15" t="b">
        <x:v>0</x:v>
      </x:c>
      <x:c r="AA13" s="15" t="b">
        <x:v>1</x:v>
      </x:c>
      <x:c r="AB13" s="15" t="b">
        <x:v>1</x:v>
      </x:c>
      <x:c r="AC13" t="str">
        <x:v>Spodoptera|XP_035449631.1</x:v>
      </x:c>
      <x:c r="AD13" s="19" t="n">
        <x:v>0</x:v>
      </x:c>
      <x:c r="AE13" t="n">
        <x:v>660</x:v>
      </x:c>
      <x:c r="AF13" t="n">
        <x:v>60.846</x:v>
      </x:c>
      <x:c r="AG13" t="n">
        <x:v>92.0474</x:v>
      </x:c>
      <x:c r="AH13" t="n">
        <x:v>95.9436</x:v>
      </x:c>
      <x:c r="AI13" t="str">
        <x:v>sp|P12992|ESTJ_HELVI</x:v>
      </x:c>
      <x:c r="AJ13" t="str">
        <x:v>sp|P12992|ESTJ_HELVI Juvenile hormone esterase OS=Heliothis virescens OX=7102 PE=1 SV=2</x:v>
      </x:c>
      <x:c r="AK13" s="19" t="n">
        <x:v>8.09e-259</x:v>
      </x:c>
      <x:c r="AL13" t="n">
        <x:v>723</x:v>
      </x:c>
      <x:c r="AM13" t="n">
        <x:v>63.8</x:v>
      </x:c>
      <x:c r="AN13" t="n">
        <x:v>99.49238578680203</x:v>
      </x:c>
      <x:c r="AO13" t="n">
        <x:v>104.25531914893617</x:v>
      </x:c>
      <x:c r="AP13" t="n">
        <x:v>0</x:v>
      </x:c>
      <x:c r="AQ13" t="n">
        <x:v>0</x:v>
      </x:c>
      <x:c r="AR13" t="str">
        <x:v>CarE_C001</x:v>
      </x:c>
      <x:c r="AS13" t="n">
        <x:v>20</x:v>
      </x:c>
      <x:c r="AT13" s="17" t="n">
        <x:f>AVERAGE(E13:G13)</x:f>
        <x:v>1.279264</x:v>
      </x:c>
      <x:c r="AU13" s="17" t="n">
        <x:f>STDEV.S(E13:G13)</x:f>
        <x:v>1.9790444649676266</x:v>
      </x:c>
      <x:c r="AV13" s="17" t="n">
        <x:f>AVERAGE(H13:J13)</x:f>
        <x:v>3.0775093333333334</x:v>
      </x:c>
      <x:c r="AW13" s="17" t="n">
        <x:f>STDEV.S(H13:J13)</x:f>
        <x:v>2.1604887916224733</x:v>
      </x:c>
      <x:c r="AX13" s="17" t="n">
        <x:f>AV13-AT13</x:f>
        <x:v>1.7982453333333335</x:v>
      </x:c>
      <x:c r="AY13" s="17" t="n">
        <x:f>LOG((AV13+1)/(AT13+1),2)</x:f>
        <x:v>0.8391201421167279</x:v>
      </x:c>
      <x:c r="AZ13" s="17" t="n">
        <x:f>AVERAGE(E13:J13)</x:f>
        <x:v>2.178386666666667</x:v>
      </x:c>
      <x:c r="BA13" s="17" t="n">
        <x:f>MAX(E13:J13)</x:f>
        <x:v>5.405727000000001</x:v>
      </x:c>
      <x:c r="BB13" s="20" t="n">
        <x:f>IF(Q13="provisional_HQ_domain",2,0)+IF(Y13,1,0)+IF(AB13,1,0)+IF(AI13&lt;&gt;"",1,0)+IF(AP13+AQ13&gt;0,1,0)</x:f>
        <x:v>5</x:v>
      </x:c>
      <x:c r="BC13" t="str">
        <x:f>IF(OR(ISNUMBER(SEARCH("exclude",U13)),ISNUMBER(SEARCH("hold",U13)),ISNUMBER(SEARCH("hold",W13))),"Review",IF(BB13&gt;=5,"Strong multi-evidence",IF(BB13&gt;=3,"Supported","Weak/inspect")))</x:f>
        <x:v>Strong multi-evidence</x:v>
      </x:c>
    </x:row>
    <x:row r="14">
      <x:c r="A14" t="str">
        <x:v>CarE</x:v>
      </x:c>
      <x:c r="B14" t="str">
        <x:v>TRINITY_DN5285_c0_g1</x:v>
      </x:c>
      <x:c r="C14" t="str">
        <x:v>yes</x:v>
      </x:c>
      <x:c r="D14" t="n">
        <x:v>1</x:v>
      </x:c>
      <x:c r="E14" s="17" t="n">
        <x:v>41.630706</x:v>
      </x:c>
      <x:c r="F14" s="17" t="n">
        <x:v>52.31971</x:v>
      </x:c>
      <x:c r="G14" s="17" t="n">
        <x:v>35.33123</x:v>
      </x:c>
      <x:c r="H14" s="17" t="n">
        <x:v>56.484621</x:v>
      </x:c>
      <x:c r="I14" s="17" t="n">
        <x:v>51.264856</x:v>
      </x:c>
      <x:c r="J14" s="17" t="n">
        <x:v>77.552592</x:v>
      </x:c>
      <x:c r="K14" s="17" t="n">
        <x:v>35.8775612</x:v>
      </x:c>
      <x:c r="L14" s="17" t="n">
        <x:v>51.6865738</x:v>
      </x:c>
      <x:c r="M14" s="17" t="n">
        <x:v>15.809012599999996</x:v>
      </x:c>
      <x:c r="N14" s="18" t="n">
        <x:v>0.999999010765626</x:v>
      </x:c>
      <x:c r="O14" t="str">
        <x:v>TRINITY_DN5285_c0_g1_i1.p1</x:v>
      </x:c>
      <x:c r="P14" t="n">
        <x:v>584</x:v>
      </x:c>
      <x:c r="Q14" t="str">
        <x:v>provisional_HQ_domain</x:v>
      </x:c>
      <x:c r="R14" t="str">
        <x:v>family_defining_domain_detected</x:v>
      </x:c>
      <x:c r="S14" t="str">
        <x:v>IPR002018;PF00135</x:v>
      </x:c>
      <x:c r="T14" t="str">
        <x:v>Carboxylesterase family;Carboxylesterase, type B</x:v>
      </x:c>
      <x:c r="U14"/>
      <x:c r="V14"/>
      <x:c r="W14"/>
      <x:c r="X14"/>
      <x:c r="Y14" s="15" t="b">
        <x:v>1</x:v>
      </x:c>
      <x:c r="Z14" s="15" t="b">
        <x:v>0</x:v>
      </x:c>
      <x:c r="AA14" s="15" t="b">
        <x:v>1</x:v>
      </x:c>
      <x:c r="AB14" s="15" t="b">
        <x:v>1</x:v>
      </x:c>
      <x:c r="AC14" t="str">
        <x:v>Spodoptera|XP_035435407.2</x:v>
      </x:c>
      <x:c r="AD14" s="19" t="n">
        <x:v>0</x:v>
      </x:c>
      <x:c r="AE14" t="n">
        <x:v>977</x:v>
      </x:c>
      <x:c r="AF14" t="n">
        <x:v>79.074</x:v>
      </x:c>
      <x:c r="AG14" t="n">
        <x:v>92.393</x:v>
      </x:c>
      <x:c r="AH14" t="n">
        <x:v>100</x:v>
      </x:c>
      <x:c r="AI14" t="str">
        <x:v>sp|D6WMZ8|ESTJ_TRICA</x:v>
      </x:c>
      <x:c r="AJ14" t="str">
        <x:v>sp|D6WMZ8|ESTJ_TRICA Juvenile hormone esterase OS=Tribolium castaneum OX=7070 GN=Tcjhe PE=1 SV=2</x:v>
      </x:c>
      <x:c r="AK14" s="19" t="n">
        <x:v>5.19e-55</x:v>
      </x:c>
      <x:c r="AL14" t="n">
        <x:v>200</x:v>
      </x:c>
      <x:c r="AM14" t="n">
        <x:v>28.7</x:v>
      </x:c>
      <x:c r="AN14" t="n">
        <x:v>92.23454833597464</x:v>
      </x:c>
      <x:c r="AO14" t="n">
        <x:v>98.9795918367347</x:v>
      </x:c>
      <x:c r="AP14" t="n">
        <x:v>0</x:v>
      </x:c>
      <x:c r="AQ14" t="n">
        <x:v>0</x:v>
      </x:c>
      <x:c r="AR14" t="str">
        <x:v>CarE_C001</x:v>
      </x:c>
      <x:c r="AS14" t="n">
        <x:v>20</x:v>
      </x:c>
      <x:c r="AT14" s="17" t="n">
        <x:f>AVERAGE(E14:G14)</x:f>
        <x:v>43.093882</x:v>
      </x:c>
      <x:c r="AU14" s="17" t="n">
        <x:f>STDEV.S(E14:G14)</x:f>
        <x:v>8.588234753593547</x:v>
      </x:c>
      <x:c r="AV14" s="17" t="n">
        <x:f>AVERAGE(H14:J14)</x:f>
        <x:v>61.76735633333334</x:v>
      </x:c>
      <x:c r="AW14" s="17" t="n">
        <x:f>STDEV.S(H14:J14)</x:f>
        <x:v>13.917317825391516</x:v>
      </x:c>
      <x:c r="AX14" s="17" t="n">
        <x:f>AV14-AT14</x:f>
        <x:v>18.67347433333334</x:v>
      </x:c>
      <x:c r="AY14" s="17" t="n">
        <x:f>LOG((AV14+1)/(AT14+1),2)</x:f>
        <x:v>0.5094359494684416</x:v>
      </x:c>
      <x:c r="AZ14" s="17" t="n">
        <x:f>AVERAGE(E14:J14)</x:f>
        <x:v>52.430619166666666</x:v>
      </x:c>
      <x:c r="BA14" s="17" t="n">
        <x:f>MAX(E14:J14)</x:f>
        <x:v>77.552592</x:v>
      </x:c>
      <x:c r="BB14" s="20" t="n">
        <x:f>IF(Q14="provisional_HQ_domain",2,0)+IF(Y14,1,0)+IF(AB14,1,0)+IF(AI14&lt;&gt;"",1,0)+IF(AP14+AQ14&gt;0,1,0)</x:f>
        <x:v>5</x:v>
      </x:c>
      <x:c r="BC14" t="str">
        <x:f>IF(OR(ISNUMBER(SEARCH("exclude",U14)),ISNUMBER(SEARCH("hold",U14)),ISNUMBER(SEARCH("hold",W14))),"Review",IF(BB14&gt;=5,"Strong multi-evidence",IF(BB14&gt;=3,"Supported","Weak/inspect")))</x:f>
        <x:v>Strong multi-evidence</x:v>
      </x:c>
    </x:row>
    <x:row r="15">
      <x:c r="A15" t="str">
        <x:v>CarE</x:v>
      </x:c>
      <x:c r="B15" t="str">
        <x:v>TRINITY_DN552_c0_g1</x:v>
      </x:c>
      <x:c r="C15" t="str">
        <x:v>yes</x:v>
      </x:c>
      <x:c r="D15" t="n">
        <x:v>8</x:v>
      </x:c>
      <x:c r="E15" s="17" t="n">
        <x:v>71.68526800000001</x:v>
      </x:c>
      <x:c r="F15" s="17" t="n">
        <x:v>69.841554</x:v>
      </x:c>
      <x:c r="G15" s="17" t="n">
        <x:v>103.22563299999999</x:v>
      </x:c>
      <x:c r="H15" s="17" t="n">
        <x:v>59.20842</x:v>
      </x:c>
      <x:c r="I15" s="17" t="n">
        <x:v>73.54925300000001</x:v>
      </x:c>
      <x:c r="J15" s="17" t="n">
        <x:v>66.278902</x:v>
      </x:c>
      <x:c r="K15" s="17" t="n">
        <x:v>68.74319684</x:v>
      </x:c>
      <x:c r="L15" s="17" t="n">
        <x:v>54.679799100000004</x:v>
      </x:c>
      <x:c r="M15" s="17" t="n">
        <x:v>-14.063397739999992</x:v>
      </x:c>
      <x:c r="N15" s="18" t="n">
        <x:v>0.471962211878195</x:v>
      </x:c>
      <x:c r="O15" t="str">
        <x:v>TRINITY_DN552_c0_g1_i15.p1</x:v>
      </x:c>
      <x:c r="P15" t="n">
        <x:v>394</x:v>
      </x:c>
      <x:c r="Q15" t="str">
        <x:v>provisional_HQ_domain</x:v>
      </x:c>
      <x:c r="R15" t="str">
        <x:v>family_defining_domain_detected</x:v>
      </x:c>
      <x:c r="S15" t="str">
        <x:v>IPR002018;PF00135</x:v>
      </x:c>
      <x:c r="T15" t="str">
        <x:v>Carboxylesterase family;Carboxylesterase, type B</x:v>
      </x:c>
      <x:c r="U15"/>
      <x:c r="V15"/>
      <x:c r="W15"/>
      <x:c r="X15"/>
      <x:c r="Y15" s="15" t="b">
        <x:v>1</x:v>
      </x:c>
      <x:c r="Z15" s="15" t="b">
        <x:v>0</x:v>
      </x:c>
      <x:c r="AA15" s="15" t="b">
        <x:v>1</x:v>
      </x:c>
      <x:c r="AB15" s="15" t="b">
        <x:v>1</x:v>
      </x:c>
      <x:c r="AC15" t="str">
        <x:v>Spodoptera|XP_035429431.2</x:v>
      </x:c>
      <x:c r="AD15" s="19" t="n">
        <x:v>0</x:v>
      </x:c>
      <x:c r="AE15" t="n">
        <x:v>561</x:v>
      </x:c>
      <x:c r="AF15" t="n">
        <x:v>69.543</x:v>
      </x:c>
      <x:c r="AG15" t="n">
        <x:v>100.254</x:v>
      </x:c>
      <x:c r="AH15" t="n">
        <x:v>71.2477</x:v>
      </x:c>
      <x:c r="AI15" t="str">
        <x:v>sp|Q8R0W5|EST4A_MOUSE</x:v>
      </x:c>
      <x:c r="AJ15" t="str">
        <x:v>sp|Q8R0W5|EST4A_MOUSE Carboxylesterase 4A OS=Mus musculus OX=10090 GN=Ces4a PE=2 SV=2</x:v>
      </x:c>
      <x:c r="AK15" s="19" t="n">
        <x:v>1.05e-36</x:v>
      </x:c>
      <x:c r="AL15" t="n">
        <x:v>143</x:v>
      </x:c>
      <x:c r="AM15" t="n">
        <x:v>31.2</x:v>
      </x:c>
      <x:c r="AN15" t="n">
        <x:v>102.03562340966921</x:v>
      </x:c>
      <x:c r="AO15" t="n">
        <x:v>71.22557726465364</x:v>
      </x:c>
      <x:c r="AP15" t="n">
        <x:v>0</x:v>
      </x:c>
      <x:c r="AQ15" t="n">
        <x:v>0</x:v>
      </x:c>
      <x:c r="AR15" t="str">
        <x:v>CarE_C001</x:v>
      </x:c>
      <x:c r="AS15" t="n">
        <x:v>20</x:v>
      </x:c>
      <x:c r="AT15" s="17" t="n">
        <x:f>AVERAGE(E15:G15)</x:f>
        <x:v>81.58415166666667</x:v>
      </x:c>
      <x:c r="AU15" s="17" t="n">
        <x:f>STDEV.S(E15:G15)</x:f>
        <x:v>18.76473037520683</x:v>
      </x:c>
      <x:c r="AV15" s="17" t="n">
        <x:f>AVERAGE(H15:J15)</x:f>
        <x:v>66.34552500000001</x:v>
      </x:c>
      <x:c r="AW15" s="17" t="n">
        <x:f>STDEV.S(H15:J15)</x:f>
        <x:v>7.170648628371709</x:v>
      </x:c>
      <x:c r="AX15" s="17" t="n">
        <x:f>AV15-AT15</x:f>
        <x:v>-15.238626666666661</x:v>
      </x:c>
      <x:c r="AY15" s="17" t="n">
        <x:f>LOG((AV15+1)/(AT15+1),2)</x:f>
        <x:v>-0.2942828632894314</x:v>
      </x:c>
      <x:c r="AZ15" s="17" t="n">
        <x:f>AVERAGE(E15:J15)</x:f>
        <x:v>73.96483833333333</x:v>
      </x:c>
      <x:c r="BA15" s="17" t="n">
        <x:f>MAX(E15:J15)</x:f>
        <x:v>103.22563299999999</x:v>
      </x:c>
      <x:c r="BB15" s="20" t="n">
        <x:f>IF(Q15="provisional_HQ_domain",2,0)+IF(Y15,1,0)+IF(AB15,1,0)+IF(AI15&lt;&gt;"",1,0)+IF(AP15+AQ15&gt;0,1,0)</x:f>
        <x:v>5</x:v>
      </x:c>
      <x:c r="BC15" t="str">
        <x:f>IF(OR(ISNUMBER(SEARCH("exclude",U15)),ISNUMBER(SEARCH("hold",U15)),ISNUMBER(SEARCH("hold",W15))),"Review",IF(BB15&gt;=5,"Strong multi-evidence",IF(BB15&gt;=3,"Supported","Weak/inspect")))</x:f>
        <x:v>Strong multi-evidence</x:v>
      </x:c>
    </x:row>
    <x:row r="16">
      <x:c r="A16" t="str">
        <x:v>CarE</x:v>
      </x:c>
      <x:c r="B16" t="str">
        <x:v>TRINITY_DN58976_c0_g1</x:v>
      </x:c>
      <x:c r="C16" t="str">
        <x:v>yes</x:v>
      </x:c>
      <x:c r="D16" t="n">
        <x:v>1</x:v>
      </x:c>
      <x:c r="E16" s="17" t="n">
        <x:v>0.028288</x:v>
      </x:c>
      <x:c r="F16" s="17" t="n">
        <x:v>0.821056</x:v>
      </x:c>
      <x:c r="G16" s="17" t="n">
        <x:v>0.986019</x:v>
      </x:c>
      <x:c r="H16" s="17" t="n">
        <x:v>0.279525</x:v>
      </x:c>
      <x:c r="I16" s="17" t="n">
        <x:v>0.114472</x:v>
      </x:c>
      <x:c r="J16" s="17" t="n">
        <x:v>0.113989</x:v>
      </x:c>
      <x:c r="K16" s="17" t="n">
        <x:v>0.5730416</x:v>
      </x:c>
      <x:c r="L16" s="17" t="n">
        <x:v>0.15104716</x:v>
      </x:c>
      <x:c r="M16" s="17" t="n">
        <x:v>-0.42199444</x:v>
      </x:c>
      <x:c r="N16" s="18" t="n">
        <x:v>0.527776062262306</x:v>
      </x:c>
      <x:c r="O16" t="str">
        <x:v>TRINITY_DN58976_c0_g1_i1.p1</x:v>
      </x:c>
      <x:c r="P16" t="n">
        <x:v>583</x:v>
      </x:c>
      <x:c r="Q16" t="str">
        <x:v>provisional_HQ_domain</x:v>
      </x:c>
      <x:c r="R16" t="str">
        <x:v>family_defining_domain_detected</x:v>
      </x:c>
      <x:c r="S16" t="str">
        <x:v>IPR002018;PF00135</x:v>
      </x:c>
      <x:c r="T16" t="str">
        <x:v>Carboxylesterase family;Carboxylesterase, type B</x:v>
      </x:c>
      <x:c r="U16"/>
      <x:c r="V16"/>
      <x:c r="W16"/>
      <x:c r="X16"/>
      <x:c r="Y16" s="15" t="b">
        <x:v>1</x:v>
      </x:c>
      <x:c r="Z16" s="15" t="b">
        <x:v>0</x:v>
      </x:c>
      <x:c r="AA16" s="15" t="b">
        <x:v>1</x:v>
      </x:c>
      <x:c r="AB16" s="15" t="b">
        <x:v>1</x:v>
      </x:c>
      <x:c r="AC16" t="str">
        <x:v>Spodoptera|XP_050551513.1</x:v>
      </x:c>
      <x:c r="AD16" s="19" t="n">
        <x:v>0</x:v>
      </x:c>
      <x:c r="AE16" t="n">
        <x:v>573</x:v>
      </x:c>
      <x:c r="AF16" t="n">
        <x:v>50.517</x:v>
      </x:c>
      <x:c r="AG16" t="n">
        <x:v>99.6564</x:v>
      </x:c>
      <x:c r="AH16" t="n">
        <x:v>98.472</x:v>
      </x:c>
      <x:c r="AI16" t="str">
        <x:v>sp|P12992|ESTJ_HELVI</x:v>
      </x:c>
      <x:c r="AJ16" t="str">
        <x:v>sp|P12992|ESTJ_HELVI Juvenile hormone esterase OS=Heliothis virescens OX=7102 PE=1 SV=2</x:v>
      </x:c>
      <x:c r="AK16" s="19" t="n">
        <x:v>3.11e-171</x:v>
      </x:c>
      <x:c r="AL16" t="n">
        <x:v>500</x:v>
      </x:c>
      <x:c r="AM16" t="n">
        <x:v>46.6</x:v>
      </x:c>
      <x:c r="AN16" t="n">
        <x:v>96.90721649484536</x:v>
      </x:c>
      <x:c r="AO16" t="n">
        <x:v>100</x:v>
      </x:c>
      <x:c r="AP16" t="n">
        <x:v>0</x:v>
      </x:c>
      <x:c r="AQ16" t="n">
        <x:v>0</x:v>
      </x:c>
      <x:c r="AR16" t="str">
        <x:v>CarE_C001</x:v>
      </x:c>
      <x:c r="AS16" t="n">
        <x:v>20</x:v>
      </x:c>
      <x:c r="AT16" s="17" t="n">
        <x:f>AVERAGE(E16:G16)</x:f>
        <x:v>0.6117876666666667</x:v>
      </x:c>
      <x:c r="AU16" s="17" t="n">
        <x:f>STDEV.S(E16:G16)</x:f>
        <x:v>0.5120127865515991</x:v>
      </x:c>
      <x:c r="AV16" s="17" t="n">
        <x:f>AVERAGE(H16:J16)</x:f>
        <x:v>0.16932866666666668</x:v>
      </x:c>
      <x:c r="AW16" s="17" t="n">
        <x:f>STDEV.S(H16:J16)</x:f>
        <x:v>0.09543312963710944</x:v>
      </x:c>
      <x:c r="AX16" s="17" t="n">
        <x:f>AV16-AT16</x:f>
        <x:v>-0.44245900000000005</x:v>
      </x:c>
      <x:c r="AY16" s="17" t="n">
        <x:f>LOG((AV16+1)/(AT16+1),2)</x:f>
        <x:v>-0.46298120950779476</x:v>
      </x:c>
      <x:c r="AZ16" s="17" t="n">
        <x:f>AVERAGE(E16:J16)</x:f>
        <x:v>0.3905581666666667</x:v>
      </x:c>
      <x:c r="BA16" s="17" t="n">
        <x:f>MAX(E16:J16)</x:f>
        <x:v>0.986019</x:v>
      </x:c>
      <x:c r="BB16" s="20" t="n">
        <x:f>IF(Q16="provisional_HQ_domain",2,0)+IF(Y16,1,0)+IF(AB16,1,0)+IF(AI16&lt;&gt;"",1,0)+IF(AP16+AQ16&gt;0,1,0)</x:f>
        <x:v>5</x:v>
      </x:c>
      <x:c r="BC16" t="str">
        <x:f>IF(OR(ISNUMBER(SEARCH("exclude",U16)),ISNUMBER(SEARCH("hold",U16)),ISNUMBER(SEARCH("hold",W16))),"Review",IF(BB16&gt;=5,"Strong multi-evidence",IF(BB16&gt;=3,"Supported","Weak/inspect")))</x:f>
        <x:v>Strong multi-evidence</x:v>
      </x:c>
    </x:row>
    <x:row r="17">
      <x:c r="A17" t="str">
        <x:v>CarE</x:v>
      </x:c>
      <x:c r="B17" t="str">
        <x:v>TRINITY_DN604_c0_g1</x:v>
      </x:c>
      <x:c r="C17" t="str">
        <x:v>yes</x:v>
      </x:c>
      <x:c r="D17" t="n">
        <x:v>10</x:v>
      </x:c>
      <x:c r="E17" s="17" t="n">
        <x:v>583.451471</x:v>
      </x:c>
      <x:c r="F17" s="17" t="n">
        <x:v>549.737877</x:v>
      </x:c>
      <x:c r="G17" s="17" t="n">
        <x:v>1522.0172830000001</x:v>
      </x:c>
      <x:c r="H17" s="17" t="n">
        <x:v>571.098655</x:v>
      </x:c>
      <x:c r="I17" s="17" t="n">
        <x:v>1493.007143</x:v>
      </x:c>
      <x:c r="J17" s="17" t="n">
        <x:v>795.135999</x:v>
      </x:c>
      <x:c r="K17" s="17" t="n">
        <x:v>847.77526502</x:v>
      </x:c>
      <x:c r="L17" s="17" t="n">
        <x:v>857.0172473999999</x:v>
      </x:c>
      <x:c r="M17" s="17" t="n">
        <x:v>9.241982379999854</x:v>
      </x:c>
      <x:c r="N17" s="18" t="n">
        <x:v>0.947152866091778</x:v>
      </x:c>
      <x:c r="O17" t="str">
        <x:v>TRINITY_DN604_c0_g1_i10.p1</x:v>
      </x:c>
      <x:c r="P17" t="n">
        <x:v>548</x:v>
      </x:c>
      <x:c r="Q17" t="str">
        <x:v>provisional_HQ_domain</x:v>
      </x:c>
      <x:c r="R17" t="str">
        <x:v>family_defining_domain_detected</x:v>
      </x:c>
      <x:c r="S17" t="str">
        <x:v>IPR002018;PF00135</x:v>
      </x:c>
      <x:c r="T17" t="str">
        <x:v>Carboxylesterase family;Carboxylesterase, type B</x:v>
      </x:c>
      <x:c r="U17"/>
      <x:c r="V17"/>
      <x:c r="W17"/>
      <x:c r="X17"/>
      <x:c r="Y17" s="15" t="b">
        <x:v>1</x:v>
      </x:c>
      <x:c r="Z17" s="15" t="b">
        <x:v>0</x:v>
      </x:c>
      <x:c r="AA17" s="15" t="b">
        <x:v>1</x:v>
      </x:c>
      <x:c r="AB17" s="15" t="b">
        <x:v>1</x:v>
      </x:c>
      <x:c r="AC17" t="str">
        <x:v>Spodoptera|XP_035449450.2</x:v>
      </x:c>
      <x:c r="AD17" s="19" t="n">
        <x:v>0</x:v>
      </x:c>
      <x:c r="AE17" t="n">
        <x:v>711</x:v>
      </x:c>
      <x:c r="AF17" t="n">
        <x:v>63.187</x:v>
      </x:c>
      <x:c r="AG17" t="n">
        <x:v>99.8172</x:v>
      </x:c>
      <x:c r="AH17" t="n">
        <x:v>99.8172</x:v>
      </x:c>
      <x:c r="AI17" t="str">
        <x:v>sp|P35502|ESTF_MYZPE</x:v>
      </x:c>
      <x:c r="AJ17" t="str">
        <x:v>sp|P35502|ESTF_MYZPE Esterase FE4 OS=Myzus persicae OX=13164 PE=1 SV=1</x:v>
      </x:c>
      <x:c r="AK17" s="19" t="n">
        <x:v>1.45e-48</x:v>
      </x:c>
      <x:c r="AL17" t="n">
        <x:v>180</x:v>
      </x:c>
      <x:c r="AM17" t="n">
        <x:v>31.4</x:v>
      </x:c>
      <x:c r="AN17" t="n">
        <x:v>93.23583180987202</x:v>
      </x:c>
      <x:c r="AO17" t="n">
        <x:v>90.42553191489361</x:v>
      </x:c>
      <x:c r="AP17" t="n">
        <x:v>0</x:v>
      </x:c>
      <x:c r="AQ17" t="n">
        <x:v>0</x:v>
      </x:c>
      <x:c r="AR17" t="str">
        <x:v>CarE_C001</x:v>
      </x:c>
      <x:c r="AS17" t="n">
        <x:v>20</x:v>
      </x:c>
      <x:c r="AT17" s="17" t="n">
        <x:f>AVERAGE(E17:G17)</x:f>
        <x:v>885.068877</x:v>
      </x:c>
      <x:c r="AU17" s="17" t="n">
        <x:f>STDEV.S(E17:G17)</x:f>
        <x:v>551.871004433604</x:v>
      </x:c>
      <x:c r="AV17" s="17" t="n">
        <x:f>AVERAGE(H17:J17)</x:f>
        <x:v>953.080599</x:v>
      </x:c>
      <x:c r="AW17" s="17" t="n">
        <x:f>STDEV.S(H17:J17)</x:f>
        <x:v>480.8208476797586</x:v>
      </x:c>
      <x:c r="AX17" s="17" t="n">
        <x:f>AV17-AT17</x:f>
        <x:v>68.01172199999996</x:v>
      </x:c>
      <x:c r="AY17" s="17" t="n">
        <x:f>LOG((AV17+1)/(AT17+1),2)</x:f>
        <x:v>0.10669229915011118</x:v>
      </x:c>
      <x:c r="AZ17" s="17" t="n">
        <x:f>AVERAGE(E17:J17)</x:f>
        <x:v>919.0747379999999</x:v>
      </x:c>
      <x:c r="BA17" s="17" t="n">
        <x:f>MAX(E17:J17)</x:f>
        <x:v>1522.0172830000001</x:v>
      </x:c>
      <x:c r="BB17" s="20" t="n">
        <x:f>IF(Q17="provisional_HQ_domain",2,0)+IF(Y17,1,0)+IF(AB17,1,0)+IF(AI17&lt;&gt;"",1,0)+IF(AP17+AQ17&gt;0,1,0)</x:f>
        <x:v>5</x:v>
      </x:c>
      <x:c r="BC17" t="str">
        <x:f>IF(OR(ISNUMBER(SEARCH("exclude",U17)),ISNUMBER(SEARCH("hold",U17)),ISNUMBER(SEARCH("hold",W17))),"Review",IF(BB17&gt;=5,"Strong multi-evidence",IF(BB17&gt;=3,"Supported","Weak/inspect")))</x:f>
        <x:v>Strong multi-evidence</x:v>
      </x:c>
    </x:row>
    <x:row r="18">
      <x:c r="A18" t="str">
        <x:v>CarE</x:v>
      </x:c>
      <x:c r="B18" t="str">
        <x:v>TRINITY_DN665_c0_g1</x:v>
      </x:c>
      <x:c r="C18" t="str">
        <x:v>yes</x:v>
      </x:c>
      <x:c r="D18" t="n">
        <x:v>17</x:v>
      </x:c>
      <x:c r="E18" s="17" t="n">
        <x:v>33.449305</x:v>
      </x:c>
      <x:c r="F18" s="17" t="n">
        <x:v>31.893776</x:v>
      </x:c>
      <x:c r="G18" s="17" t="n">
        <x:v>31.835379</x:v>
      </x:c>
      <x:c r="H18" s="17" t="n">
        <x:v>43.741825</x:v>
      </x:c>
      <x:c r="I18" s="17" t="n">
        <x:v>56.578534</x:v>
      </x:c>
      <x:c r="J18" s="17" t="n">
        <x:v>124.993016</x:v>
      </x:c>
      <x:c r="K18" s="17" t="n">
        <x:v>27.86417512</x:v>
      </x:c>
      <x:c r="L18" s="17" t="n">
        <x:v>68.70610167999999</x:v>
      </x:c>
      <x:c r="M18" s="17" t="n">
        <x:v>40.84192655999999</x:v>
      </x:c>
      <x:c r="N18" s="18" t="n">
        <x:v>0.194508412755047</x:v>
      </x:c>
      <x:c r="O18" t="str">
        <x:v>TRINITY_DN665_c0_g1_i12.p1</x:v>
      </x:c>
      <x:c r="P18" t="n">
        <x:v>584</x:v>
      </x:c>
      <x:c r="Q18" t="str">
        <x:v>provisional_HQ_domain</x:v>
      </x:c>
      <x:c r="R18" t="str">
        <x:v>family_defining_domain_detected</x:v>
      </x:c>
      <x:c r="S18" t="str">
        <x:v>IPR002018;PF00135</x:v>
      </x:c>
      <x:c r="T18" t="str">
        <x:v>Carboxylesterase family;Carboxylesterase, type B</x:v>
      </x:c>
      <x:c r="U18"/>
      <x:c r="V18"/>
      <x:c r="W18"/>
      <x:c r="X18"/>
      <x:c r="Y18" s="15" t="b">
        <x:v>1</x:v>
      </x:c>
      <x:c r="Z18" s="15" t="b">
        <x:v>0</x:v>
      </x:c>
      <x:c r="AA18" s="15" t="b">
        <x:v>1</x:v>
      </x:c>
      <x:c r="AB18" s="15" t="b">
        <x:v>1</x:v>
      </x:c>
      <x:c r="AC18" t="str">
        <x:v>Spodoptera|XP_050551626.1</x:v>
      </x:c>
      <x:c r="AD18" s="19" t="n">
        <x:v>0</x:v>
      </x:c>
      <x:c r="AE18" t="n">
        <x:v>833</x:v>
      </x:c>
      <x:c r="AF18" t="n">
        <x:v>74.388</x:v>
      </x:c>
      <x:c r="AG18" t="n">
        <x:v>91.0806</x:v>
      </x:c>
      <x:c r="AH18" t="n">
        <x:v>48.6264</x:v>
      </x:c>
      <x:c r="AI18" t="str">
        <x:v>sp|P07882|CEL_RAT</x:v>
      </x:c>
      <x:c r="AJ18" t="str">
        <x:v>sp|P07882|CEL_RAT Bile salt-activated lipase OS=Rattus norvegicus OX=10116 GN=Cel PE=1 SV=2</x:v>
      </x:c>
      <x:c r="AK18" s="19" t="n">
        <x:v>5.66e-48</x:v>
      </x:c>
      <x:c r="AL18" t="n">
        <x:v>180</x:v>
      </x:c>
      <x:c r="AM18" t="n">
        <x:v>30.7</x:v>
      </x:c>
      <x:c r="AN18" t="n">
        <x:v>96.22641509433963</x:v>
      </x:c>
      <x:c r="AO18" t="n">
        <x:v>91.66666666666667</x:v>
      </x:c>
      <x:c r="AP18" t="n">
        <x:v>0</x:v>
      </x:c>
      <x:c r="AQ18" t="n">
        <x:v>0</x:v>
      </x:c>
      <x:c r="AR18" t="str">
        <x:v>CarE_C001</x:v>
      </x:c>
      <x:c r="AS18" t="n">
        <x:v>20</x:v>
      </x:c>
      <x:c r="AT18" s="17" t="n">
        <x:f>AVERAGE(E18:G18)</x:f>
        <x:v>32.39282</x:v>
      </x:c>
      <x:c r="AU18" s="17" t="n">
        <x:f>STDEV.S(E18:G18)</x:f>
        <x:v>0.9154086348844451</x:v>
      </x:c>
      <x:c r="AV18" s="17" t="n">
        <x:f>AVERAGE(H18:J18)</x:f>
        <x:v>75.10445833333334</x:v>
      </x:c>
      <x:c r="AW18" s="17" t="n">
        <x:f>STDEV.S(H18:J18)</x:f>
        <x:v>43.6789012457149</x:v>
      </x:c>
      <x:c r="AX18" s="17" t="n">
        <x:f>AV18-AT18</x:f>
        <x:v>42.71163833333334</x:v>
      </x:c>
      <x:c r="AY18" s="17" t="n">
        <x:f>LOG((AV18+1)/(AT18+1),2)</x:f>
        <x:v>1.188443038703052</x:v>
      </x:c>
      <x:c r="AZ18" s="17" t="n">
        <x:f>AVERAGE(E18:J18)</x:f>
        <x:v>53.74863916666666</x:v>
      </x:c>
      <x:c r="BA18" s="17" t="n">
        <x:f>MAX(E18:J18)</x:f>
        <x:v>124.993016</x:v>
      </x:c>
      <x:c r="BB18" s="20" t="n">
        <x:f>IF(Q18="provisional_HQ_domain",2,0)+IF(Y18,1,0)+IF(AB18,1,0)+IF(AI18&lt;&gt;"",1,0)+IF(AP18+AQ18&gt;0,1,0)</x:f>
        <x:v>5</x:v>
      </x:c>
      <x:c r="BC18" t="str">
        <x:f>IF(OR(ISNUMBER(SEARCH("exclude",U18)),ISNUMBER(SEARCH("hold",U18)),ISNUMBER(SEARCH("hold",W18))),"Review",IF(BB18&gt;=5,"Strong multi-evidence",IF(BB18&gt;=3,"Supported","Weak/inspect")))</x:f>
        <x:v>Strong multi-evidence</x:v>
      </x:c>
    </x:row>
    <x:row r="19">
      <x:c r="A19" t="str">
        <x:v>CarE</x:v>
      </x:c>
      <x:c r="B19" t="str">
        <x:v>TRINITY_DN69_c0_g1</x:v>
      </x:c>
      <x:c r="C19" t="str">
        <x:v>yes</x:v>
      </x:c>
      <x:c r="D19" t="n">
        <x:v>14</x:v>
      </x:c>
      <x:c r="E19" s="17" t="n">
        <x:v>224.300983</x:v>
      </x:c>
      <x:c r="F19" s="17" t="n">
        <x:v>271.85749300000003</x:v>
      </x:c>
      <x:c r="G19" s="17" t="n">
        <x:v>389.68120999999996</x:v>
      </x:c>
      <x:c r="H19" s="17" t="n">
        <x:v>144.332576</x:v>
      </x:c>
      <x:c r="I19" s="17" t="n">
        <x:v>178.875345</x:v>
      </x:c>
      <x:c r="J19" s="17" t="n">
        <x:v>202.276665</x:v>
      </x:c>
      <x:c r="K19" s="17" t="n">
        <x:v>259.70235330599996</x:v>
      </x:c>
      <x:c r="L19" s="17" t="n">
        <x:v>150.5581052</x:v>
      </x:c>
      <x:c r="M19" s="17" t="n">
        <x:v>-109.14424810599996</x:v>
      </x:c>
      <x:c r="N19" s="18" t="n">
        <x:v>0.272564221578895</x:v>
      </x:c>
      <x:c r="O19" t="str">
        <x:v>TRINITY_DN69_c0_g1_i5.p1</x:v>
      </x:c>
      <x:c r="P19" t="n">
        <x:v>584</x:v>
      </x:c>
      <x:c r="Q19" t="str">
        <x:v>provisional_HQ_domain</x:v>
      </x:c>
      <x:c r="R19" t="str">
        <x:v>family_defining_domain_detected</x:v>
      </x:c>
      <x:c r="S19" t="str">
        <x:v>IPR002018;PF00135</x:v>
      </x:c>
      <x:c r="T19" t="str">
        <x:v>Carboxylesterase family;Carboxylesterase, type B</x:v>
      </x:c>
      <x:c r="U19"/>
      <x:c r="V19"/>
      <x:c r="W19"/>
      <x:c r="X19"/>
      <x:c r="Y19" s="15" t="b">
        <x:v>1</x:v>
      </x:c>
      <x:c r="Z19" s="15" t="b">
        <x:v>0</x:v>
      </x:c>
      <x:c r="AA19" s="15" t="b">
        <x:v>1</x:v>
      </x:c>
      <x:c r="AB19" s="15" t="b">
        <x:v>1</x:v>
      </x:c>
      <x:c r="AC19" t="str">
        <x:v>Spodoptera|XP_050553603.1</x:v>
      </x:c>
      <x:c r="AD19" s="19" t="n">
        <x:v>0</x:v>
      </x:c>
      <x:c r="AE19" t="n">
        <x:v>773</x:v>
      </x:c>
      <x:c r="AF19" t="n">
        <x:v>69.55</x:v>
      </x:c>
      <x:c r="AG19" t="n">
        <x:v>95.1973</x:v>
      </x:c>
      <x:c r="AH19" t="n">
        <x:v>100.181</x:v>
      </x:c>
      <x:c r="AI19" t="str">
        <x:v>sp|P12992|ESTJ_HELVI</x:v>
      </x:c>
      <x:c r="AJ19" t="str">
        <x:v>sp|P12992|ESTJ_HELVI Juvenile hormone esterase OS=Heliothis virescens OX=7102 PE=1 SV=2</x:v>
      </x:c>
      <x:c r="AK19" s="19" t="n">
        <x:v>7.31e-57</x:v>
      </x:c>
      <x:c r="AL19" t="n">
        <x:v>203</x:v>
      </x:c>
      <x:c r="AM19" t="n">
        <x:v>32</x:v>
      </x:c>
      <x:c r="AN19" t="n">
        <x:v>89.02229845626071</x:v>
      </x:c>
      <x:c r="AO19" t="n">
        <x:v>92.02127659574468</x:v>
      </x:c>
      <x:c r="AP19" t="n">
        <x:v>0</x:v>
      </x:c>
      <x:c r="AQ19" t="n">
        <x:v>0</x:v>
      </x:c>
      <x:c r="AR19" t="str">
        <x:v>CarE_C001</x:v>
      </x:c>
      <x:c r="AS19" t="n">
        <x:v>20</x:v>
      </x:c>
      <x:c r="AT19" s="17" t="n">
        <x:f>AVERAGE(E19:G19)</x:f>
        <x:v>295.27989533333334</x:v>
      </x:c>
      <x:c r="AU19" s="17" t="n">
        <x:f>STDEV.S(E19:G19)</x:f>
        <x:v>85.14171462298185</x:v>
      </x:c>
      <x:c r="AV19" s="17" t="n">
        <x:f>AVERAGE(H19:J19)</x:f>
        <x:v>175.16152866666667</x:v>
      </x:c>
      <x:c r="AW19" s="17" t="n">
        <x:f>STDEV.S(H19:J19)</x:f>
        <x:v>29.150020348676964</x:v>
      </x:c>
      <x:c r="AX19" s="17" t="n">
        <x:f>AV19-AT19</x:f>
        <x:v>-120.11836666666667</x:v>
      </x:c>
      <x:c r="AY19" s="17" t="n">
        <x:f>LOG((AV19+1)/(AT19+1),2)</x:f>
        <x:v>-0.7500618393941344</x:v>
      </x:c>
      <x:c r="AZ19" s="17" t="n">
        <x:f>AVERAGE(E19:J19)</x:f>
        <x:v>235.22071200000002</x:v>
      </x:c>
      <x:c r="BA19" s="17" t="n">
        <x:f>MAX(E19:J19)</x:f>
        <x:v>389.68120999999996</x:v>
      </x:c>
      <x:c r="BB19" s="20" t="n">
        <x:f>IF(Q19="provisional_HQ_domain",2,0)+IF(Y19,1,0)+IF(AB19,1,0)+IF(AI19&lt;&gt;"",1,0)+IF(AP19+AQ19&gt;0,1,0)</x:f>
        <x:v>5</x:v>
      </x:c>
      <x:c r="BC19" t="str">
        <x:f>IF(OR(ISNUMBER(SEARCH("exclude",U19)),ISNUMBER(SEARCH("hold",U19)),ISNUMBER(SEARCH("hold",W19))),"Review",IF(BB19&gt;=5,"Strong multi-evidence",IF(BB19&gt;=3,"Supported","Weak/inspect")))</x:f>
        <x:v>Strong multi-evidence</x:v>
      </x:c>
    </x:row>
    <x:row r="20">
      <x:c r="A20" t="str">
        <x:v>CarE</x:v>
      </x:c>
      <x:c r="B20" t="str">
        <x:v>TRINITY_DN920_c0_g1</x:v>
      </x:c>
      <x:c r="C20" t="str">
        <x:v>yes</x:v>
      </x:c>
      <x:c r="D20" t="n">
        <x:v>9</x:v>
      </x:c>
      <x:c r="E20" s="17" t="n">
        <x:v>180.352236</x:v>
      </x:c>
      <x:c r="F20" s="17" t="n">
        <x:v>423.857169</x:v>
      </x:c>
      <x:c r="G20" s="17" t="n">
        <x:v>334.737678</x:v>
      </x:c>
      <x:c r="H20" s="17" t="n">
        <x:v>511.927886</x:v>
      </x:c>
      <x:c r="I20" s="17" t="n">
        <x:v>453.930606</x:v>
      </x:c>
      <x:c r="J20" s="17" t="n">
        <x:v>739.705277</x:v>
      </x:c>
      <x:c r="K20" s="17" t="n">
        <x:v>282.9008706</x:v>
      </x:c>
      <x:c r="L20" s="17" t="n">
        <x:v>530.4148098</x:v>
      </x:c>
      <x:c r="M20" s="17" t="n">
        <x:v>247.51393919999992</x:v>
      </x:c>
      <x:c r="N20" s="18" t="n">
        <x:v>0.937987759554221</x:v>
      </x:c>
      <x:c r="O20" t="str">
        <x:v>TRINITY_DN920_c0_g1_i14.p1</x:v>
      </x:c>
      <x:c r="P20" t="n">
        <x:v>620</x:v>
      </x:c>
      <x:c r="Q20" t="str">
        <x:v>provisional_HQ_domain</x:v>
      </x:c>
      <x:c r="R20" t="str">
        <x:v>family_defining_domain_detected</x:v>
      </x:c>
      <x:c r="S20" t="str">
        <x:v>IPR002018;PF00135</x:v>
      </x:c>
      <x:c r="T20" t="str">
        <x:v>Carboxylesterase family;Carboxylesterase, type B</x:v>
      </x:c>
      <x:c r="U20"/>
      <x:c r="V20"/>
      <x:c r="W20"/>
      <x:c r="X20"/>
      <x:c r="Y20" s="15" t="b">
        <x:v>1</x:v>
      </x:c>
      <x:c r="Z20" s="15" t="b">
        <x:v>0</x:v>
      </x:c>
      <x:c r="AA20" s="15" t="b">
        <x:v>1</x:v>
      </x:c>
      <x:c r="AB20" s="15" t="b">
        <x:v>1</x:v>
      </x:c>
      <x:c r="AC20" t="str">
        <x:v>Spodoptera|XP_035430264.2</x:v>
      </x:c>
      <x:c r="AD20" s="19" t="n">
        <x:v>0</x:v>
      </x:c>
      <x:c r="AE20" t="n">
        <x:v>752</x:v>
      </x:c>
      <x:c r="AF20" t="n">
        <x:v>66.062</x:v>
      </x:c>
      <x:c r="AG20" t="n">
        <x:v>89.0145</x:v>
      </x:c>
      <x:c r="AH20" t="n">
        <x:v>98.0427</x:v>
      </x:c>
      <x:c r="AI20" t="str">
        <x:v>sp|P12992|ESTJ_HELVI</x:v>
      </x:c>
      <x:c r="AJ20" t="str">
        <x:v>sp|P12992|ESTJ_HELVI Juvenile hormone esterase OS=Heliothis virescens OX=7102 PE=1 SV=2</x:v>
      </x:c>
      <x:c r="AK20" s="19" t="n">
        <x:v>1.89e-48</x:v>
      </x:c>
      <x:c r="AL20" t="n">
        <x:v>181</x:v>
      </x:c>
      <x:c r="AM20" t="n">
        <x:v>30.1</x:v>
      </x:c>
      <x:c r="AN20" t="n">
        <x:v>87.39903069466882</x:v>
      </x:c>
      <x:c r="AO20" t="n">
        <x:v>95.92198581560284</x:v>
      </x:c>
      <x:c r="AP20" t="n">
        <x:v>0</x:v>
      </x:c>
      <x:c r="AQ20" t="n">
        <x:v>0</x:v>
      </x:c>
      <x:c r="AR20" t="str">
        <x:v>CarE_C001</x:v>
      </x:c>
      <x:c r="AS20" t="n">
        <x:v>20</x:v>
      </x:c>
      <x:c r="AT20" s="17" t="n">
        <x:f>AVERAGE(E20:G20)</x:f>
        <x:v>312.982361</x:v>
      </x:c>
      <x:c r="AU20" s="17" t="n">
        <x:f>STDEV.S(E20:G20)</x:f>
        <x:v>123.20159683283934</x:v>
      </x:c>
      <x:c r="AV20" s="17" t="n">
        <x:f>AVERAGE(H20:J20)</x:f>
        <x:v>568.5212563333333</x:v>
      </x:c>
      <x:c r="AW20" s="17" t="n">
        <x:f>STDEV.S(H20:J20)</x:f>
        <x:v>151.0592526810388</x:v>
      </x:c>
      <x:c r="AX20" s="17" t="n">
        <x:f>AV20-AT20</x:f>
        <x:v>255.5388953333333</x:v>
      </x:c>
      <x:c r="AY20" s="17" t="n">
        <x:f>LOG((AV20+1)/(AT20+1),2)</x:f>
        <x:v>0.8590661756601687</x:v>
      </x:c>
      <x:c r="AZ20" s="17" t="n">
        <x:f>AVERAGE(E20:J20)</x:f>
        <x:v>440.75180866666665</x:v>
      </x:c>
      <x:c r="BA20" s="17" t="n">
        <x:f>MAX(E20:J20)</x:f>
        <x:v>739.705277</x:v>
      </x:c>
      <x:c r="BB20" s="20" t="n">
        <x:f>IF(Q20="provisional_HQ_domain",2,0)+IF(Y20,1,0)+IF(AB20,1,0)+IF(AI20&lt;&gt;"",1,0)+IF(AP20+AQ20&gt;0,1,0)</x:f>
        <x:v>5</x:v>
      </x:c>
      <x:c r="BC20" t="str">
        <x:f>IF(OR(ISNUMBER(SEARCH("exclude",U20)),ISNUMBER(SEARCH("hold",U20)),ISNUMBER(SEARCH("hold",W20))),"Review",IF(BB20&gt;=5,"Strong multi-evidence",IF(BB20&gt;=3,"Supported","Weak/inspect")))</x:f>
        <x:v>Strong multi-evidence</x:v>
      </x:c>
    </x:row>
    <x:row r="21">
      <x:c r="A21" t="str">
        <x:v>CarE</x:v>
      </x:c>
      <x:c r="B21" t="str">
        <x:v>TRINITY_DN9322_c0_g2</x:v>
      </x:c>
      <x:c r="C21" t="str">
        <x:v>yes</x:v>
      </x:c>
      <x:c r="D21" t="n">
        <x:v>2</x:v>
      </x:c>
      <x:c r="E21" s="17" t="n">
        <x:v>2.729488</x:v>
      </x:c>
      <x:c r="F21" s="17" t="n">
        <x:v>4.091293</x:v>
      </x:c>
      <x:c r="G21" s="17" t="n">
        <x:v>2.315495</x:v>
      </x:c>
      <x:c r="H21" s="17" t="n">
        <x:v>4.268961999999999</x:v>
      </x:c>
      <x:c r="I21" s="17" t="n">
        <x:v>3.431733</x:v>
      </x:c>
      <x:c r="J21" s="17" t="n">
        <x:v>4.287108</x:v>
      </x:c>
      <x:c r="K21" s="17" t="n">
        <x:v>2.5880625999999998</x:v>
      </x:c>
      <x:c r="L21" s="17" t="n">
        <x:v>3.4381161999999996</x:v>
      </x:c>
      <x:c r="M21" s="17" t="n">
        <x:v>0.8500535999999999</x:v>
      </x:c>
      <x:c r="N21" s="18" t="n">
        <x:v>0.999999010765626</x:v>
      </x:c>
      <x:c r="O21" t="str">
        <x:v>TRINITY_DN9322_c0_g2_i1.p1</x:v>
      </x:c>
      <x:c r="P21" t="n">
        <x:v>543</x:v>
      </x:c>
      <x:c r="Q21" t="str">
        <x:v>provisional_HQ_domain</x:v>
      </x:c>
      <x:c r="R21" t="str">
        <x:v>family_defining_domain_detected</x:v>
      </x:c>
      <x:c r="S21" t="str">
        <x:v>IPR002018;PF00135</x:v>
      </x:c>
      <x:c r="T21" t="str">
        <x:v>Carboxylesterase family;Carboxylesterase, type B</x:v>
      </x:c>
      <x:c r="U21"/>
      <x:c r="V21"/>
      <x:c r="W21"/>
      <x:c r="X21"/>
      <x:c r="Y21" s="15" t="b">
        <x:v>1</x:v>
      </x:c>
      <x:c r="Z21" s="15" t="b">
        <x:v>0</x:v>
      </x:c>
      <x:c r="AA21" s="15" t="b">
        <x:v>1</x:v>
      </x:c>
      <x:c r="AB21" s="15" t="b">
        <x:v>1</x:v>
      </x:c>
      <x:c r="AC21" t="str">
        <x:v>Spodoptera|XP_035444718.2</x:v>
      </x:c>
      <x:c r="AD21" s="19" t="n">
        <x:v>0</x:v>
      </x:c>
      <x:c r="AE21" t="n">
        <x:v>827</x:v>
      </x:c>
      <x:c r="AF21" t="n">
        <x:v>73.034</x:v>
      </x:c>
      <x:c r="AG21" t="n">
        <x:v>98.524</x:v>
      </x:c>
      <x:c r="AH21" t="n">
        <x:v>100.376</x:v>
      </x:c>
      <x:c r="AI21" t="str">
        <x:v>sp|D6WMZ8|ESTJ_TRICA</x:v>
      </x:c>
      <x:c r="AJ21" t="str">
        <x:v>sp|D6WMZ8|ESTJ_TRICA Juvenile hormone esterase OS=Tribolium castaneum OX=7070 GN=Tcjhe PE=1 SV=2</x:v>
      </x:c>
      <x:c r="AK21" s="19" t="n">
        <x:v>3.31e-81</x:v>
      </x:c>
      <x:c r="AL21" t="n">
        <x:v>268</x:v>
      </x:c>
      <x:c r="AM21" t="n">
        <x:v>37</x:v>
      </x:c>
      <x:c r="AN21" t="n">
        <x:v>94.28044280442805</x:v>
      </x:c>
      <x:c r="AO21" t="n">
        <x:v>86.9047619047619</x:v>
      </x:c>
      <x:c r="AP21" t="n">
        <x:v>0</x:v>
      </x:c>
      <x:c r="AQ21" t="n">
        <x:v>0</x:v>
      </x:c>
      <x:c r="AR21" t="str">
        <x:v>CarE_C001</x:v>
      </x:c>
      <x:c r="AS21" t="n">
        <x:v>20</x:v>
      </x:c>
      <x:c r="AT21" s="17" t="n">
        <x:f>AVERAGE(E21:G21)</x:f>
        <x:v>3.0454253333333337</x:v>
      </x:c>
      <x:c r="AU21" s="17" t="n">
        <x:f>STDEV.S(E21:G21)</x:f>
        <x:v>0.929100066271838</x:v>
      </x:c>
      <x:c r="AV21" s="17" t="n">
        <x:f>AVERAGE(H21:J21)</x:f>
        <x:v>3.995934333333333</x:v>
      </x:c>
      <x:c r="AW21" s="17" t="n">
        <x:f>STDEV.S(H21:J21)</x:f>
        <x:v>0.48869691806919874</x:v>
      </x:c>
      <x:c r="AX21" s="17" t="n">
        <x:f>AV21-AT21</x:f>
        <x:v>0.9505089999999994</x:v>
      </x:c>
      <x:c r="AY21" s="17" t="n">
        <x:f>LOG((AV21+1)/(AT21+1),2)</x:f>
        <x:v>0.30446311962790534</x:v>
      </x:c>
      <x:c r="AZ21" s="17" t="n">
        <x:f>AVERAGE(E21:J21)</x:f>
        <x:v>3.520679833333334</x:v>
      </x:c>
      <x:c r="BA21" s="17" t="n">
        <x:f>MAX(E21:J21)</x:f>
        <x:v>4.287108</x:v>
      </x:c>
      <x:c r="BB21" s="20" t="n">
        <x:f>IF(Q21="provisional_HQ_domain",2,0)+IF(Y21,1,0)+IF(AB21,1,0)+IF(AI21&lt;&gt;"",1,0)+IF(AP21+AQ21&gt;0,1,0)</x:f>
        <x:v>5</x:v>
      </x:c>
      <x:c r="BC21" t="str">
        <x:f>IF(OR(ISNUMBER(SEARCH("exclude",U21)),ISNUMBER(SEARCH("hold",U21)),ISNUMBER(SEARCH("hold",W21))),"Review",IF(BB21&gt;=5,"Strong multi-evidence",IF(BB21&gt;=3,"Supported","Weak/inspect")))</x:f>
        <x:v>Strong multi-evidence</x:v>
      </x:c>
    </x:row>
    <x:row r="22">
      <x:c r="A22" t="str">
        <x:v>GST</x:v>
      </x:c>
      <x:c r="B22" t="str">
        <x:v>TRINITY_DN114_c0_g1</x:v>
      </x:c>
      <x:c r="C22" t="str">
        <x:v>no</x:v>
      </x:c>
      <x:c r="D22" t="n">
        <x:v>8</x:v>
      </x:c>
      <x:c r="E22" s="17" t="n">
        <x:v>114.21247100000001</x:v>
      </x:c>
      <x:c r="F22" s="17" t="n">
        <x:v>112.606572</x:v>
      </x:c>
      <x:c r="G22" s="17" t="n">
        <x:v>92.462179</x:v>
      </x:c>
      <x:c r="H22" s="17" t="n">
        <x:v>122.290464</x:v>
      </x:c>
      <x:c r="I22" s="17" t="n">
        <x:v>89.976414</x:v>
      </x:c>
      <x:c r="J22" s="17" t="n">
        <x:v>98.779982</x:v>
      </x:c>
      <x:c r="K22" s="17" t="n">
        <x:v>91.18381666</x:v>
      </x:c>
      <x:c r="L22" s="17" t="n">
        <x:v>88.2858918</x:v>
      </x:c>
      <x:c r="M22" s="17" t="n">
        <x:v>-2.8979248600000034</x:v>
      </x:c>
      <x:c r="N22" s="18" t="n">
        <x:v>0.279596204925924</x:v>
      </x:c>
      <x:c r="O22" t="str">
        <x:v>TRINITY_DN114_c0_g1_i11.p1</x:v>
      </x:c>
      <x:c r="P22" t="n">
        <x:v>284</x:v>
      </x:c>
      <x:c r="Q22" t="str">
        <x:v>review</x:v>
      </x:c>
      <x:c r="R22" t="str">
        <x:v>no_family_defining_domain_in_current_core_table</x:v>
      </x:c>
      <x:c r="S22" t="str">
        <x:v>none</x:v>
      </x:c>
      <x:c r="T22" t="str">
        <x:v>none</x:v>
      </x:c>
      <x:c r="U22" t="str">
        <x:v>exclude_from_canonical_detox_GST</x:v>
      </x:c>
      <x:c r="V22" t="str">
        <x:v>alternative protein family; no canonical cytosolic GST domain</x:v>
      </x:c>
      <x:c r="W22"/>
      <x:c r="X22"/>
      <x:c r="Y22" s="15" t="b">
        <x:v>1</x:v>
      </x:c>
      <x:c r="Z22" s="15" t="b">
        <x:v>0</x:v>
      </x:c>
      <x:c r="AA22" s="15" t="b">
        <x:v>1</x:v>
      </x:c>
      <x:c r="AB22" s="15" t="b">
        <x:v>1</x:v>
      </x:c>
      <x:c r="AC22" t="str">
        <x:v>Spodoptera|XP_035443791.1</x:v>
      </x:c>
      <x:c r="AD22" s="19" t="n">
        <x:v>0</x:v>
      </x:c>
      <x:c r="AE22" t="n">
        <x:v>579</x:v>
      </x:c>
      <x:c r="AF22" t="n">
        <x:v>97.88</x:v>
      </x:c>
      <x:c r="AG22" t="n">
        <x:v>100</x:v>
      </x:c>
      <x:c r="AH22" t="n">
        <x:v>100</x:v>
      </x:c>
      <x:c r="AI22" t="str">
        <x:v>sp|Q9VY78|CLIC_DROME</x:v>
      </x:c>
      <x:c r="AJ22" t="str">
        <x:v>sp|Q9VY78|CLIC_DROME Chloride intracellular channel Clic OS=Drosophila melanogaster OX=7227 GN=Clic PE=1 SV=1</x:v>
      </x:c>
      <x:c r="AK22" s="19" t="n">
        <x:v>6.27e-152</x:v>
      </x:c>
      <x:c r="AL22" t="n">
        <x:v>427</x:v>
      </x:c>
      <x:c r="AM22" t="n">
        <x:v>80.4</x:v>
      </x:c>
      <x:c r="AN22" t="n">
        <x:v>95.75971731448763</x:v>
      </x:c>
      <x:c r="AO22" t="n">
        <x:v>104.23076923076923</x:v>
      </x:c>
      <x:c r="AP22" t="n">
        <x:v>1</x:v>
      </x:c>
      <x:c r="AQ22" t="n">
        <x:v>13</x:v>
      </x:c>
      <x:c r="AR22" t="str">
        <x:v>GST_C003</x:v>
      </x:c>
      <x:c r="AS22" t="n">
        <x:v>1</x:v>
      </x:c>
      <x:c r="AT22" s="17" t="n">
        <x:f>AVERAGE(E22:G22)</x:f>
        <x:v>106.427074</x:v>
      </x:c>
      <x:c r="AU22" s="17" t="n">
        <x:f>STDEV.S(E22:G22)</x:f>
        <x:v>12.120579489872544</x:v>
      </x:c>
      <x:c r="AV22" s="17" t="n">
        <x:f>AVERAGE(H22:J22)</x:f>
        <x:v>103.68228666666668</x:v>
      </x:c>
      <x:c r="AW22" s="17" t="n">
        <x:f>STDEV.S(H22:J22)</x:f>
        <x:v>16.70550508467916</x:v>
      </x:c>
      <x:c r="AX22" s="17" t="n">
        <x:f>AV22-AT22</x:f>
        <x:v>-2.7447873333333206</x:v>
      </x:c>
      <x:c r="AY22" s="17" t="n">
        <x:f>LOG((AV22+1)/(AT22+1),2)</x:f>
        <x:v>-0.037340286333251003</x:v>
      </x:c>
      <x:c r="AZ22" s="17" t="n">
        <x:f>AVERAGE(E22:J22)</x:f>
        <x:v>105.05468033333334</x:v>
      </x:c>
      <x:c r="BA22" s="17" t="n">
        <x:f>MAX(E22:J22)</x:f>
        <x:v>122.290464</x:v>
      </x:c>
      <x:c r="BB22" s="20" t="n">
        <x:f>IF(Q22="provisional_HQ_domain",2,0)+IF(Y22,1,0)+IF(AB22,1,0)+IF(AI22&lt;&gt;"",1,0)+IF(AP22+AQ22&gt;0,1,0)</x:f>
        <x:v>4</x:v>
      </x:c>
      <x:c r="BC22" t="str">
        <x:f>IF(OR(ISNUMBER(SEARCH("exclude",U22)),ISNUMBER(SEARCH("hold",U22)),ISNUMBER(SEARCH("hold",W22))),"Review",IF(BB22&gt;=5,"Strong multi-evidence",IF(BB22&gt;=3,"Supported","Weak/inspect")))</x:f>
        <x:v>Review</x:v>
      </x:c>
    </x:row>
    <x:row r="23">
      <x:c r="A23" t="str">
        <x:v>GST</x:v>
      </x:c>
      <x:c r="B23" t="str">
        <x:v>TRINITY_DN11666_c0_g1</x:v>
      </x:c>
      <x:c r="C23" t="str">
        <x:v>no</x:v>
      </x:c>
      <x:c r="D23" t="n">
        <x:v>2</x:v>
      </x:c>
      <x:c r="E23" s="17" t="n">
        <x:v>59.648394</x:v>
      </x:c>
      <x:c r="F23" s="17" t="n">
        <x:v>89.562112</x:v>
      </x:c>
      <x:c r="G23" s="17" t="n">
        <x:v>48.077693</x:v>
      </x:c>
      <x:c r="H23" s="17" t="n">
        <x:v>84.47549199999999</x:v>
      </x:c>
      <x:c r="I23" s="17" t="n">
        <x:v>67.26394499999999</x:v>
      </x:c>
      <x:c r="J23" s="17" t="n">
        <x:v>101.707523</x:v>
      </x:c>
      <x:c r="K23" s="17" t="n">
        <x:v>56.10678420000001</x:v>
      </x:c>
      <x:c r="L23" s="17" t="n">
        <x:v>70.4296784</x:v>
      </x:c>
      <x:c r="M23" s="17" t="n">
        <x:v>14.322894199999993</x:v>
      </x:c>
      <x:c r="N23" s="18" t="n">
        <x:v>0.999999010765626</x:v>
      </x:c>
      <x:c r="O23" t="str">
        <x:v>TRINITY_DN11666_c0_g1_i2.p1</x:v>
      </x:c>
      <x:c r="P23" t="n">
        <x:v>334</x:v>
      </x:c>
      <x:c r="Q23" t="str">
        <x:v>provisional_HQ_domain</x:v>
      </x:c>
      <x:c r="R23" t="str">
        <x:v>family_defining_domain_detected</x:v>
      </x:c>
      <x:c r="S23" t="str">
        <x:v>IPR004045;PF13410;PF13417</x:v>
      </x:c>
      <x:c r="T23" t="str">
        <x:v>Glutathione S-transferase, C-terminal domain;Glutathione S-transferase, N-terminal;Glutathione S-transferase, N-terminal domain</x:v>
      </x:c>
      <x:c r="U23"/>
      <x:c r="V23"/>
      <x:c r="W23"/>
      <x:c r="X23"/>
      <x:c r="Y23" s="15" t="b">
        <x:v>1</x:v>
      </x:c>
      <x:c r="Z23" s="15" t="b">
        <x:v>0</x:v>
      </x:c>
      <x:c r="AA23" s="15" t="b">
        <x:v>1</x:v>
      </x:c>
      <x:c r="AB23" s="15" t="b">
        <x:v>1</x:v>
      </x:c>
      <x:c r="AC23" t="str">
        <x:v>Spodoptera|XP_050563972.1</x:v>
      </x:c>
      <x:c r="AD23" s="19" t="n">
        <x:v>0</x:v>
      </x:c>
      <x:c r="AE23" t="n">
        <x:v>612</x:v>
      </x:c>
      <x:c r="AF23" t="n">
        <x:v>86.186</x:v>
      </x:c>
      <x:c r="AG23" t="n">
        <x:v>100</x:v>
      </x:c>
      <x:c r="AH23" t="n">
        <x:v>100</x:v>
      </x:c>
      <x:c r="AI23" t="str">
        <x:v>sp|Q8TB36|GDAP1_HUMAN</x:v>
      </x:c>
      <x:c r="AJ23" t="str">
        <x:v>sp|Q8TB36|GDAP1_HUMAN Ganglioside-induced differentiation-associated protein 1 OS=Homo sapiens OX=9606 GN=GDAP1 PE=1 SV=3</x:v>
      </x:c>
      <x:c r="AK23" s="19" t="n">
        <x:v>1.1e-38</x:v>
      </x:c>
      <x:c r="AL23" t="n">
        <x:v>143</x:v>
      </x:c>
      <x:c r="AM23" t="n">
        <x:v>34.9</x:v>
      </x:c>
      <x:c r="AN23" t="n">
        <x:v>81.68168168168168</x:v>
      </x:c>
      <x:c r="AO23" t="n">
        <x:v>75.97765363128492</x:v>
      </x:c>
      <x:c r="AP23" t="n">
        <x:v>0</x:v>
      </x:c>
      <x:c r="AQ23" t="n">
        <x:v>0</x:v>
      </x:c>
      <x:c r="AR23" t="str">
        <x:v>GST_C004</x:v>
      </x:c>
      <x:c r="AS23" t="n">
        <x:v>1</x:v>
      </x:c>
      <x:c r="AT23" s="17" t="n">
        <x:f>AVERAGE(E23:G23)</x:f>
        <x:v>65.76273300000001</x:v>
      </x:c>
      <x:c r="AU23" s="17" t="n">
        <x:f>STDEV.S(E23:G23)</x:f>
        <x:v>21.407431209677657</x:v>
      </x:c>
      <x:c r="AV23" s="17" t="n">
        <x:f>AVERAGE(H23:J23)</x:f>
        <x:v>84.48232</x:v>
      </x:c>
      <x:c r="AW23" s="17" t="n">
        <x:f>STDEV.S(H23:J23)</x:f>
        <x:v>17.2217900151729</x:v>
      </x:c>
      <x:c r="AX23" s="17" t="n">
        <x:f>AV23-AT23</x:f>
        <x:v>18.71958699999999</x:v>
      </x:c>
      <x:c r="AY23" s="17" t="n">
        <x:f>LOG((AV23+1)/(AT23+1),2)</x:f>
        <x:v>0.35658304934846125</x:v>
      </x:c>
      <x:c r="AZ23" s="17" t="n">
        <x:f>AVERAGE(E23:J23)</x:f>
        <x:v>75.12252649999999</x:v>
      </x:c>
      <x:c r="BA23" s="17" t="n">
        <x:f>MAX(E23:J23)</x:f>
        <x:v>101.707523</x:v>
      </x:c>
      <x:c r="BB23" s="20" t="n">
        <x:f>IF(Q23="provisional_HQ_domain",2,0)+IF(Y23,1,0)+IF(AB23,1,0)+IF(AI23&lt;&gt;"",1,0)+IF(AP23+AQ23&gt;0,1,0)</x:f>
        <x:v>5</x:v>
      </x:c>
      <x:c r="BC23" t="str">
        <x:f>IF(OR(ISNUMBER(SEARCH("exclude",U23)),ISNUMBER(SEARCH("hold",U23)),ISNUMBER(SEARCH("hold",W23))),"Review",IF(BB23&gt;=5,"Strong multi-evidence",IF(BB23&gt;=3,"Supported","Weak/inspect")))</x:f>
        <x:v>Strong multi-evidence</x:v>
      </x:c>
    </x:row>
    <x:row r="24">
      <x:c r="A24" t="str">
        <x:v>GST</x:v>
      </x:c>
      <x:c r="B24" t="str">
        <x:v>TRINITY_DN12434_c0_g2</x:v>
      </x:c>
      <x:c r="C24" t="str">
        <x:v>no</x:v>
      </x:c>
      <x:c r="D24" t="n">
        <x:v>2</x:v>
      </x:c>
      <x:c r="E24" s="17" t="n">
        <x:v>5.977098</x:v>
      </x:c>
      <x:c r="F24" s="17" t="n">
        <x:v>2.064915</x:v>
      </x:c>
      <x:c r="G24" s="17" t="n">
        <x:v>10.395011</x:v>
      </x:c>
      <x:c r="H24" s="17" t="n">
        <x:v>28.474612</x:v>
      </x:c>
      <x:c r="I24" s="17" t="n">
        <x:v>16.79658</x:v>
      </x:c>
      <x:c r="J24" s="17" t="n">
        <x:v>4.125835</x:v>
      </x:c>
      <x:c r="K24" s="17" t="n">
        <x:v>5.8458008</x:v>
      </x:c>
      <x:c r="L24" s="17" t="n">
        <x:v>15.4357622</x:v>
      </x:c>
      <x:c r="M24" s="17" t="n">
        <x:v>9.5899614</x:v>
      </x:c>
      <x:c r="N24" s="18" t="n">
        <x:v>0.999999010765626</x:v>
      </x:c>
      <x:c r="O24" t="str">
        <x:v>TRINITY_DN12434_c0_g2_i1.p1</x:v>
      </x:c>
      <x:c r="P24" t="n">
        <x:v>217</x:v>
      </x:c>
      <x:c r="Q24" t="str">
        <x:v>provisional_HQ_domain</x:v>
      </x:c>
      <x:c r="R24" t="str">
        <x:v>family_defining_domain_detected</x:v>
      </x:c>
      <x:c r="S24" t="str">
        <x:v>IPR004045;IPR004046;PF00043;PF13417</x:v>
      </x:c>
      <x:c r="T24" t="str">
        <x:v>Glutathione S-transferase, C-terminal;Glutathione S-transferase, C-terminal domain;Glutathione S-transferase, N-terminal;Glutathione S-transferase, N-terminal domain</x:v>
      </x:c>
      <x:c r="U24"/>
      <x:c r="V24"/>
      <x:c r="W24"/>
      <x:c r="X24"/>
      <x:c r="Y24" s="15" t="b">
        <x:v>1</x:v>
      </x:c>
      <x:c r="Z24" s="15" t="b">
        <x:v>0</x:v>
      </x:c>
      <x:c r="AA24" s="15" t="b">
        <x:v>1</x:v>
      </x:c>
      <x:c r="AB24" s="15" t="b">
        <x:v>1</x:v>
      </x:c>
      <x:c r="AC24" t="str">
        <x:v>Spodoptera|XP_050557506.1</x:v>
      </x:c>
      <x:c r="AD24" s="19" t="n">
        <x:v>1.89e-112</x:v>
      </x:c>
      <x:c r="AE24" t="n">
        <x:v>320</x:v>
      </x:c>
      <x:c r="AF24" t="n">
        <x:v>66.204</x:v>
      </x:c>
      <x:c r="AG24" t="n">
        <x:v>100</x:v>
      </x:c>
      <x:c r="AH24" t="n">
        <x:v>49.8845</x:v>
      </x:c>
      <x:c r="AI24" t="str">
        <x:v>sp|P46430|GSTT1_MANSE</x:v>
      </x:c>
      <x:c r="AJ24" t="str">
        <x:v>sp|P46430|GSTT1_MANSE Glutathione S-transferase 1 OS=Manduca sexta OX=7130 GN=GST1 PE=2 SV=1</x:v>
      </x:c>
      <x:c r="AK24" s="19" t="n">
        <x:v>2.15e-50</x:v>
      </x:c>
      <x:c r="AL24" t="n">
        <x:v>166</x:v>
      </x:c>
      <x:c r="AM24" t="n">
        <x:v>43.5</x:v>
      </x:c>
      <x:c r="AN24" t="n">
        <x:v>95.83333333333333</x:v>
      </x:c>
      <x:c r="AO24" t="n">
        <x:v>95.39170506912443</x:v>
      </x:c>
      <x:c r="AP24" t="n">
        <x:v>0</x:v>
      </x:c>
      <x:c r="AQ24" t="n">
        <x:v>0</x:v>
      </x:c>
      <x:c r="AR24" t="str">
        <x:v>GST_C001</x:v>
      </x:c>
      <x:c r="AS24" t="n">
        <x:v>8</x:v>
      </x:c>
      <x:c r="AT24" s="17" t="n">
        <x:f>AVERAGE(E24:G24)</x:f>
        <x:v>6.145674666666667</x:v>
      </x:c>
      <x:c r="AU24" s="17" t="n">
        <x:f>STDEV.S(E24:G24)</x:f>
        <x:v>4.1676058368939275</x:v>
      </x:c>
      <x:c r="AV24" s="17" t="n">
        <x:f>AVERAGE(H24:J24)</x:f>
        <x:v>16.465675666666666</x:v>
      </x:c>
      <x:c r="AW24" s="17" t="n">
        <x:f>STDEV.S(H24:J24)</x:f>
        <x:v>12.177760820746002</x:v>
      </x:c>
      <x:c r="AX24" s="17" t="n">
        <x:f>AV24-AT24</x:f>
        <x:v>10.320000999999998</x:v>
      </x:c>
      <x:c r="AY24" s="17" t="n">
        <x:f>LOG((AV24+1)/(AT24+1),2)</x:f>
        <x:v>1.2893803185583135</x:v>
      </x:c>
      <x:c r="AZ24" s="17" t="n">
        <x:f>AVERAGE(E24:J24)</x:f>
        <x:v>11.305675166666667</x:v>
      </x:c>
      <x:c r="BA24" s="17" t="n">
        <x:f>MAX(E24:J24)</x:f>
        <x:v>28.474612</x:v>
      </x:c>
      <x:c r="BB24" s="20" t="n">
        <x:f>IF(Q24="provisional_HQ_domain",2,0)+IF(Y24,1,0)+IF(AB24,1,0)+IF(AI24&lt;&gt;"",1,0)+IF(AP24+AQ24&gt;0,1,0)</x:f>
        <x:v>5</x:v>
      </x:c>
      <x:c r="BC24" t="str">
        <x:f>IF(OR(ISNUMBER(SEARCH("exclude",U24)),ISNUMBER(SEARCH("hold",U24)),ISNUMBER(SEARCH("hold",W24))),"Review",IF(BB24&gt;=5,"Strong multi-evidence",IF(BB24&gt;=3,"Supported","Weak/inspect")))</x:f>
        <x:v>Strong multi-evidence</x:v>
      </x:c>
    </x:row>
    <x:row r="25">
      <x:c r="A25" t="str">
        <x:v>GST</x:v>
      </x:c>
      <x:c r="B25" t="str">
        <x:v>TRINITY_DN1310_c0_g1</x:v>
      </x:c>
      <x:c r="C25" t="str">
        <x:v>yes</x:v>
      </x:c>
      <x:c r="D25" t="n">
        <x:v>10</x:v>
      </x:c>
      <x:c r="E25" s="17" t="n">
        <x:v>134.150128</x:v>
      </x:c>
      <x:c r="F25" s="17" t="n">
        <x:v>919.627843</x:v>
      </x:c>
      <x:c r="G25" s="17" t="n">
        <x:v>82.06249199999999</x:v>
      </x:c>
      <x:c r="H25" s="17" t="n">
        <x:v>452.23861</x:v>
      </x:c>
      <x:c r="I25" s="17" t="n">
        <x:v>393.466949</x:v>
      </x:c>
      <x:c r="J25" s="17" t="n">
        <x:v>75.406751</x:v>
      </x:c>
      <x:c r="K25" s="17" t="n">
        <x:v>379.75887384</x:v>
      </x:c>
      <x:c r="L25" s="17" t="n">
        <x:v>298.16707497000004</x:v>
      </x:c>
      <x:c r="M25" s="17" t="n">
        <x:v>-81.59179886999993</x:v>
      </x:c>
      <x:c r="N25" s="18" t="n">
        <x:v>0.00531618031657553</x:v>
      </x:c>
      <x:c r="O25" t="str">
        <x:v>TRINITY_DN1310_c0_g1_i1.p1</x:v>
      </x:c>
      <x:c r="P25" t="n">
        <x:v>228</x:v>
      </x:c>
      <x:c r="Q25" t="str">
        <x:v>provisional_HQ_domain</x:v>
      </x:c>
      <x:c r="R25" t="str">
        <x:v>family_defining_domain_detected</x:v>
      </x:c>
      <x:c r="S25" t="str">
        <x:v>IPR004045;IPR004046;PF02798;PF14497</x:v>
      </x:c>
      <x:c r="T25" t="str">
        <x:v>Glutathione S-transferase, C-terminal;Glutathione S-transferase, C-terminal domain;Glutathione S-transferase, N-terminal;Glutathione S-transferase, N-terminal domain</x:v>
      </x:c>
      <x:c r="U25"/>
      <x:c r="V25"/>
      <x:c r="W25"/>
      <x:c r="X25"/>
      <x:c r="Y25" s="15" t="b">
        <x:v>1</x:v>
      </x:c>
      <x:c r="Z25" s="15" t="b">
        <x:v>0</x:v>
      </x:c>
      <x:c r="AA25" s="15" t="b">
        <x:v>1</x:v>
      </x:c>
      <x:c r="AB25" s="15" t="b">
        <x:v>1</x:v>
      </x:c>
      <x:c r="AC25" t="str">
        <x:v>Spodoptera|XP_050559253.1</x:v>
      </x:c>
      <x:c r="AD25" s="19" t="n">
        <x:v>1.46e-129</x:v>
      </x:c>
      <x:c r="AE25" t="n">
        <x:v>357</x:v>
      </x:c>
      <x:c r="AF25" t="n">
        <x:v>72.444</x:v>
      </x:c>
      <x:c r="AG25" t="n">
        <x:v>99.1189</x:v>
      </x:c>
      <x:c r="AH25" t="n">
        <x:v>100.897</x:v>
      </x:c>
      <x:c r="AI25" t="str">
        <x:v>sp|P28338|GSTT1_MUSDO</x:v>
      </x:c>
      <x:c r="AJ25" t="str">
        <x:v>sp|P28338|GSTT1_MUSDO Glutathione S-transferase 1 OS=Musca domestica OX=7370 GN=Gst1 PE=1 SV=1</x:v>
      </x:c>
      <x:c r="AK25" s="19" t="n">
        <x:v>2.44e-28</x:v>
      </x:c>
      <x:c r="AL25" t="n">
        <x:v>109</x:v>
      </x:c>
      <x:c r="AM25" t="n">
        <x:v>33.2</x:v>
      </x:c>
      <x:c r="AN25" t="n">
        <x:v>83.70044052863436</x:v>
      </x:c>
      <x:c r="AO25" t="n">
        <x:v>91.34615384615384</x:v>
      </x:c>
      <x:c r="AP25" t="n">
        <x:v>0</x:v>
      </x:c>
      <x:c r="AQ25" t="n">
        <x:v>0</x:v>
      </x:c>
      <x:c r="AR25" t="str">
        <x:v>GST_C001</x:v>
      </x:c>
      <x:c r="AS25" t="n">
        <x:v>8</x:v>
      </x:c>
      <x:c r="AT25" s="17" t="n">
        <x:f>AVERAGE(E25:G25)</x:f>
        <x:v>378.6134876666667</x:v>
      </x:c>
      <x:c r="AU25" s="17" t="n">
        <x:f>STDEV.S(E25:G25)</x:f>
        <x:v>469.25545277979865</x:v>
      </x:c>
      <x:c r="AV25" s="17" t="n">
        <x:f>AVERAGE(H25:J25)</x:f>
        <x:v>307.0374366666667</x:v>
      </x:c>
      <x:c r="AW25" s="17" t="n">
        <x:f>STDEV.S(H25:J25)</x:f>
        <x:v>202.7390143533857</x:v>
      </x:c>
      <x:c r="AX25" s="17" t="n">
        <x:f>AV25-AT25</x:f>
        <x:v>-71.576051</x:v>
      </x:c>
      <x:c r="AY25" s="17" t="n">
        <x:f>LOG((AV25+1)/(AT25+1),2)</x:f>
        <x:v>-0.3014255558111603</x:v>
      </x:c>
      <x:c r="AZ25" s="17" t="n">
        <x:f>AVERAGE(E25:J25)</x:f>
        <x:v>342.8254621666667</x:v>
      </x:c>
      <x:c r="BA25" s="17" t="n">
        <x:f>MAX(E25:J25)</x:f>
        <x:v>919.627843</x:v>
      </x:c>
      <x:c r="BB25" s="20" t="n">
        <x:f>IF(Q25="provisional_HQ_domain",2,0)+IF(Y25,1,0)+IF(AB25,1,0)+IF(AI25&lt;&gt;"",1,0)+IF(AP25+AQ25&gt;0,1,0)</x:f>
        <x:v>5</x:v>
      </x:c>
      <x:c r="BC25" t="str">
        <x:f>IF(OR(ISNUMBER(SEARCH("exclude",U25)),ISNUMBER(SEARCH("hold",U25)),ISNUMBER(SEARCH("hold",W25))),"Review",IF(BB25&gt;=5,"Strong multi-evidence",IF(BB25&gt;=3,"Supported","Weak/inspect")))</x:f>
        <x:v>Strong multi-evidence</x:v>
      </x:c>
    </x:row>
    <x:row r="26">
      <x:c r="A26" t="str">
        <x:v>GST</x:v>
      </x:c>
      <x:c r="B26" t="str">
        <x:v>TRINITY_DN1343_c0_g1</x:v>
      </x:c>
      <x:c r="C26" t="str">
        <x:v>no</x:v>
      </x:c>
      <x:c r="D26" t="n">
        <x:v>14</x:v>
      </x:c>
      <x:c r="E26" s="17" t="n">
        <x:v>2.666962</x:v>
      </x:c>
      <x:c r="F26" s="17" t="n">
        <x:v>4.029513</x:v>
      </x:c>
      <x:c r="G26" s="17" t="n">
        <x:v>2.771708</x:v>
      </x:c>
      <x:c r="H26" s="17" t="n">
        <x:v>3.9239059999999997</x:v>
      </x:c>
      <x:c r="I26" s="17" t="n">
        <x:v>3.190048</x:v>
      </x:c>
      <x:c r="J26" s="17" t="n">
        <x:v>2.836938</x:v>
      </x:c>
      <x:c r="K26" s="17" t="n">
        <x:v>2.87803732</x:v>
      </x:c>
      <x:c r="L26" s="17" t="n">
        <x:v>3.16221446</x:v>
      </x:c>
      <x:c r="M26" s="17" t="n">
        <x:v>0.28417714000000016</x:v>
      </x:c>
      <x:c r="N26" s="18" t="n">
        <x:v>0.0000871075562497241</x:v>
      </x:c>
      <x:c r="O26" t="str">
        <x:v>TRINITY_DN1343_c0_g1_i14.p1</x:v>
      </x:c>
      <x:c r="P26" t="n">
        <x:v>826</x:v>
      </x:c>
      <x:c r="Q26" t="str">
        <x:v>review</x:v>
      </x:c>
      <x:c r="R26" t="str">
        <x:v>no_family_defining_domain_in_current_core_table</x:v>
      </x:c>
      <x:c r="S26" t="str">
        <x:v>IPR003029;IPR004210;IPR006578;IPR018974;IPR032639;IPR041692;PF00575;PF02944;PF09371;PF10545;PF12836;PF16921;PF17674</x:v>
      </x:c>
      <x:c r="T26" t="str">
        <x:v>Alcohol dehydrogenase transcription factor Myb/SANT-like;BESS motif;HHH domain;HHH domain 9;Helix-hairpin-helix motif;MADF domain;S1 RNA binding domain;S1 domain;Tex protein YqgF-like domain;Tex protein, YqgF-like domain;Tex-like protein N-terminal domain;Tex-like protein, N-terminal</x:v>
      </x:c>
      <x:c r="U26" t="str">
        <x:v>exclude_from_canonical_detox_GST</x:v>
      </x:c>
      <x:c r="V26" t="str">
        <x:v>alternative protein family; no canonical cytosolic GST domain</x:v>
      </x:c>
      <x:c r="W26"/>
      <x:c r="X26"/>
      <x:c r="Y26" s="15" t="b">
        <x:v>1</x:v>
      </x:c>
      <x:c r="Z26" s="15" t="b">
        <x:v>0</x:v>
      </x:c>
      <x:c r="AA26" s="15" t="b">
        <x:v>1</x:v>
      </x:c>
      <x:c r="AB26" s="15" t="b">
        <x:v>1</x:v>
      </x:c>
      <x:c r="AC26" t="str">
        <x:v>Spodoptera|XP_050558941.1</x:v>
      </x:c>
      <x:c r="AD26" s="19" t="n">
        <x:v>0</x:v>
      </x:c>
      <x:c r="AE26" t="n">
        <x:v>1303</x:v>
      </x:c>
      <x:c r="AF26" t="n">
        <x:v>78.571</x:v>
      </x:c>
      <x:c r="AG26" t="n">
        <x:v>100.121</x:v>
      </x:c>
      <x:c r="AH26" t="n">
        <x:v>100.609</x:v>
      </x:c>
      <x:c r="AI26" t="str">
        <x:v>sp|Q8N5C6|SRBD1_HUMAN</x:v>
      </x:c>
      <x:c r="AJ26" t="str">
        <x:v>sp|Q8N5C6|SRBD1_HUMAN S1 RNA-binding domain-containing protein 1 OS=Homo sapiens OX=9606 GN=SRBD1 PE=1 SV=2</x:v>
      </x:c>
      <x:c r="AK26" s="19" t="n">
        <x:v>1.1e-132</x:v>
      </x:c>
      <x:c r="AL26" t="n">
        <x:v>423</x:v>
      </x:c>
      <x:c r="AM26" t="n">
        <x:v>35.1</x:v>
      </x:c>
      <x:c r="AN26" t="n">
        <x:v>97.33333333333333</x:v>
      </x:c>
      <x:c r="AO26" t="n">
        <x:v>80.7035175879397</x:v>
      </x:c>
      <x:c r="AP26" t="n">
        <x:v>0</x:v>
      </x:c>
      <x:c r="AQ26" t="n">
        <x:v>0</x:v>
      </x:c>
      <x:c r="AR26" t="str">
        <x:v>GST_C005</x:v>
      </x:c>
      <x:c r="AS26" t="n">
        <x:v>1</x:v>
      </x:c>
      <x:c r="AT26" s="17" t="n">
        <x:f>AVERAGE(E26:G26)</x:f>
        <x:v>3.156061</x:v>
      </x:c>
      <x:c r="AU26" s="17" t="n">
        <x:f>STDEV.S(E26:G26)</x:f>
        <x:v>0.7582425260805409</x:v>
      </x:c>
      <x:c r="AV26" s="17" t="n">
        <x:f>AVERAGE(H26:J26)</x:f>
        <x:v>3.316964</x:v>
      </x:c>
      <x:c r="AW26" s="17" t="n">
        <x:f>STDEV.S(H26:J26)</x:f>
        <x:v>0.5544868001566853</x:v>
      </x:c>
      <x:c r="AX26" s="17" t="n">
        <x:f>AV26-AT26</x:f>
        <x:v>0.16090300000000024</x:v>
      </x:c>
      <x:c r="AY26" s="17" t="n">
        <x:f>LOG((AV26+1)/(AT26+1),2)</x:f>
        <x:v>0.054800232584998124</x:v>
      </x:c>
      <x:c r="AZ26" s="17" t="n">
        <x:f>AVERAGE(E26:J26)</x:f>
        <x:v>3.2365125</x:v>
      </x:c>
      <x:c r="BA26" s="17" t="n">
        <x:f>MAX(E26:J26)</x:f>
        <x:v>4.029513</x:v>
      </x:c>
      <x:c r="BB26" s="20" t="n">
        <x:f>IF(Q26="provisional_HQ_domain",2,0)+IF(Y26,1,0)+IF(AB26,1,0)+IF(AI26&lt;&gt;"",1,0)+IF(AP26+AQ26&gt;0,1,0)</x:f>
        <x:v>3</x:v>
      </x:c>
      <x:c r="BC26" t="str">
        <x:f>IF(OR(ISNUMBER(SEARCH("exclude",U26)),ISNUMBER(SEARCH("hold",U26)),ISNUMBER(SEARCH("hold",W26))),"Review",IF(BB26&gt;=5,"Strong multi-evidence",IF(BB26&gt;=3,"Supported","Weak/inspect")))</x:f>
        <x:v>Review</x:v>
      </x:c>
    </x:row>
    <x:row r="27">
      <x:c r="A27" t="str">
        <x:v>GST</x:v>
      </x:c>
      <x:c r="B27" t="str">
        <x:v>TRINITY_DN13779_c0_g1</x:v>
      </x:c>
      <x:c r="C27" t="str">
        <x:v>yes</x:v>
      </x:c>
      <x:c r="D27" t="n">
        <x:v>6</x:v>
      </x:c>
      <x:c r="E27" s="17" t="n">
        <x:v>57.275219</x:v>
      </x:c>
      <x:c r="F27" s="17" t="n">
        <x:v>85.028175</x:v>
      </x:c>
      <x:c r="G27" s="17" t="n">
        <x:v>25.285469</x:v>
      </x:c>
      <x:c r="H27" s="17" t="n">
        <x:v>76.546104</x:v>
      </x:c>
      <x:c r="I27" s="17" t="n">
        <x:v>95.628602</x:v>
      </x:c>
      <x:c r="J27" s="17" t="n">
        <x:v>69.264709</x:v>
      </x:c>
      <x:c r="K27" s="17" t="n">
        <x:v>49.59060718</x:v>
      </x:c>
      <x:c r="L27" s="17" t="n">
        <x:v>71.02730236400001</x:v>
      </x:c>
      <x:c r="M27" s="17" t="n">
        <x:v>21.43669518400001</x:v>
      </x:c>
      <x:c r="N27" s="18" t="n">
        <x:v>0.999999010765626</x:v>
      </x:c>
      <x:c r="O27" t="str">
        <x:v>TRINITY_DN13779_c0_g1_i1.p1</x:v>
      </x:c>
      <x:c r="P27" t="n">
        <x:v>220</x:v>
      </x:c>
      <x:c r="Q27" t="str">
        <x:v>provisional_HQ_domain</x:v>
      </x:c>
      <x:c r="R27" t="str">
        <x:v>family_defining_domain_detected</x:v>
      </x:c>
      <x:c r="S27" t="str">
        <x:v>IPR004045;IPR004046;PF00043;PF13417</x:v>
      </x:c>
      <x:c r="T27" t="str">
        <x:v>Glutathione S-transferase, C-terminal;Glutathione S-transferase, C-terminal domain;Glutathione S-transferase, N-terminal;Glutathione S-transferase, N-terminal domain</x:v>
      </x:c>
      <x:c r="U27"/>
      <x:c r="V27"/>
      <x:c r="W27"/>
      <x:c r="X27"/>
      <x:c r="Y27" s="15" t="b">
        <x:v>1</x:v>
      </x:c>
      <x:c r="Z27" s="15" t="b">
        <x:v>0</x:v>
      </x:c>
      <x:c r="AA27" s="15" t="b">
        <x:v>1</x:v>
      </x:c>
      <x:c r="AB27" s="15" t="b">
        <x:v>1</x:v>
      </x:c>
      <x:c r="AC27" t="str">
        <x:v>Spodoptera|XP_035440580.2</x:v>
      </x:c>
      <x:c r="AD27" s="19" t="n">
        <x:v>1.95e-128</x:v>
      </x:c>
      <x:c r="AE27" t="n">
        <x:v>353</x:v>
      </x:c>
      <x:c r="AF27" t="n">
        <x:v>78.281</x:v>
      </x:c>
      <x:c r="AG27" t="n">
        <x:v>100.913</x:v>
      </x:c>
      <x:c r="AH27" t="n">
        <x:v>100</x:v>
      </x:c>
      <x:c r="AI27" t="str">
        <x:v>sp|P42860|GSTT1_LUCCU</x:v>
      </x:c>
      <x:c r="AJ27" t="str">
        <x:v>sp|P42860|GSTT1_LUCCU Glutathione S-transferase 1-1 OS=Lucilia cuprina OX=7375 GN=GST1 PE=1 SV=2</x:v>
      </x:c>
      <x:c r="AK27" s="19" t="n">
        <x:v>1.38e-82</x:v>
      </x:c>
      <x:c r="AL27" t="n">
        <x:v>247</x:v>
      </x:c>
      <x:c r="AM27" t="n">
        <x:v>57.9</x:v>
      </x:c>
      <x:c r="AN27" t="n">
        <x:v>92.23744292237443</x:v>
      </x:c>
      <x:c r="AO27" t="n">
        <x:v>97.11538461538461</x:v>
      </x:c>
      <x:c r="AP27" t="n">
        <x:v>0</x:v>
      </x:c>
      <x:c r="AQ27" t="n">
        <x:v>0</x:v>
      </x:c>
      <x:c r="AR27" t="str">
        <x:v>GST_C001</x:v>
      </x:c>
      <x:c r="AS27" t="n">
        <x:v>8</x:v>
      </x:c>
      <x:c r="AT27" s="17" t="n">
        <x:f>AVERAGE(E27:G27)</x:f>
        <x:v>55.862954333333334</x:v>
      </x:c>
      <x:c r="AU27" s="17" t="n">
        <x:f>STDEV.S(E27:G27)</x:f>
        <x:v>29.896381029601987</x:v>
      </x:c>
      <x:c r="AV27" s="17" t="n">
        <x:f>AVERAGE(H27:J27)</x:f>
        <x:v>80.479805</x:v>
      </x:c>
      <x:c r="AW27" s="17" t="n">
        <x:f>STDEV.S(H27:J27)</x:f>
        <x:v>13.615036400866252</x:v>
      </x:c>
      <x:c r="AX27" s="17" t="n">
        <x:f>AV27-AT27</x:f>
        <x:v>24.616850666666664</x:v>
      </x:c>
      <x:c r="AY27" s="17" t="n">
        <x:f>LOG((AV27+1)/(AT27+1),2)</x:f>
        <x:v>0.5189534709514106</x:v>
      </x:c>
      <x:c r="AZ27" s="17" t="n">
        <x:f>AVERAGE(E27:J27)</x:f>
        <x:v>68.17137966666667</x:v>
      </x:c>
      <x:c r="BA27" s="17" t="n">
        <x:f>MAX(E27:J27)</x:f>
        <x:v>95.628602</x:v>
      </x:c>
      <x:c r="BB27" s="20" t="n">
        <x:f>IF(Q27="provisional_HQ_domain",2,0)+IF(Y27,1,0)+IF(AB27,1,0)+IF(AI27&lt;&gt;"",1,0)+IF(AP27+AQ27&gt;0,1,0)</x:f>
        <x:v>5</x:v>
      </x:c>
      <x:c r="BC27" t="str">
        <x:f>IF(OR(ISNUMBER(SEARCH("exclude",U27)),ISNUMBER(SEARCH("hold",U27)),ISNUMBER(SEARCH("hold",W27))),"Review",IF(BB27&gt;=5,"Strong multi-evidence",IF(BB27&gt;=3,"Supported","Weak/inspect")))</x:f>
        <x:v>Strong multi-evidence</x:v>
      </x:c>
    </x:row>
    <x:row r="28">
      <x:c r="A28" t="str">
        <x:v>GST</x:v>
      </x:c>
      <x:c r="B28" t="str">
        <x:v>TRINITY_DN1407_c0_g1</x:v>
      </x:c>
      <x:c r="C28" t="str">
        <x:v>no</x:v>
      </x:c>
      <x:c r="D28" t="n">
        <x:v>1</x:v>
      </x:c>
      <x:c r="E28" s="17" t="n">
        <x:v>4.171001</x:v>
      </x:c>
      <x:c r="F28" s="17" t="n">
        <x:v>236.423008</x:v>
      </x:c>
      <x:c r="G28" s="17" t="n">
        <x:v>42.383383</x:v>
      </x:c>
      <x:c r="H28" s="17" t="n">
        <x:v>302.843043</x:v>
      </x:c>
      <x:c r="I28" s="17" t="n">
        <x:v>170.720751</x:v>
      </x:c>
      <x:c r="J28" s="17" t="n">
        <x:v>34.364763</x:v>
      </x:c>
      <x:c r="K28" s="17" t="n">
        <x:v>95.7970384</x:v>
      </x:c>
      <x:c r="L28" s="17" t="n">
        <x:v>157.3697114</x:v>
      </x:c>
      <x:c r="M28" s="17" t="n">
        <x:v>61.572672999999995</x:v>
      </x:c>
      <x:c r="N28" s="18" t="n">
        <x:v>0.999999010765626</x:v>
      </x:c>
      <x:c r="O28" t="str">
        <x:v>TRINITY_DN1407_c0_g1_i1.p1</x:v>
      </x:c>
      <x:c r="P28" t="n">
        <x:v>207</x:v>
      </x:c>
      <x:c r="Q28" t="str">
        <x:v>provisional_HQ_domain</x:v>
      </x:c>
      <x:c r="R28" t="str">
        <x:v>family_defining_domain_detected</x:v>
      </x:c>
      <x:c r="S28" t="str">
        <x:v>IPR004045;IPR004046;PF02798;PF14497</x:v>
      </x:c>
      <x:c r="T28" t="str">
        <x:v>Glutathione S-transferase, C-terminal;Glutathione S-transferase, C-terminal domain;Glutathione S-transferase, N-terminal;Glutathione S-transferase, N-terminal domain</x:v>
      </x:c>
      <x:c r="U28"/>
      <x:c r="V28"/>
      <x:c r="W28"/>
      <x:c r="X28"/>
      <x:c r="Y28" s="15" t="b">
        <x:v>1</x:v>
      </x:c>
      <x:c r="Z28" s="15" t="b">
        <x:v>0</x:v>
      </x:c>
      <x:c r="AA28" s="15" t="b">
        <x:v>1</x:v>
      </x:c>
      <x:c r="AB28" s="15" t="b">
        <x:v>1</x:v>
      </x:c>
      <x:c r="AC28" t="str">
        <x:v>Spodoptera|XP_050562835.1</x:v>
      </x:c>
      <x:c r="AD28" s="19" t="n">
        <x:v>5.79e-63</x:v>
      </x:c>
      <x:c r="AE28" t="n">
        <x:v>202</x:v>
      </x:c>
      <x:c r="AF28" t="n">
        <x:v>75.385</x:v>
      </x:c>
      <x:c r="AG28" t="n">
        <x:v>63.1068</x:v>
      </x:c>
      <x:c r="AH28" t="n">
        <x:v>6.85654</x:v>
      </x:c>
      <x:c r="AI28" t="str">
        <x:v>sp|O18598|GST1_BLAGE</x:v>
      </x:c>
      <x:c r="AJ28" t="str">
        <x:v>sp|O18598|GST1_BLAGE Glutathione S-transferase OS=Blattella germanica OX=6973 PE=1 SV=3</x:v>
      </x:c>
      <x:c r="AK28" s="19" t="n">
        <x:v>1.27e-43</x:v>
      </x:c>
      <x:c r="AL28" t="n">
        <x:v>147</x:v>
      </x:c>
      <x:c r="AM28" t="n">
        <x:v>37.6</x:v>
      </x:c>
      <x:c r="AN28" t="n">
        <x:v>98.05825242718447</x:v>
      </x:c>
      <x:c r="AO28" t="n">
        <x:v>99.01960784313725</x:v>
      </x:c>
      <x:c r="AP28" t="n">
        <x:v>0</x:v>
      </x:c>
      <x:c r="AQ28" t="n">
        <x:v>0</x:v>
      </x:c>
      <x:c r="AR28" t="str">
        <x:v>GST_C002</x:v>
      </x:c>
      <x:c r="AS28" t="n">
        <x:v>4</x:v>
      </x:c>
      <x:c r="AT28" s="17" t="n">
        <x:f>AVERAGE(E28:G28)</x:f>
        <x:v>94.32579733333334</x:v>
      </x:c>
      <x:c r="AU28" s="17" t="n">
        <x:f>STDEV.S(E28:G28)</x:f>
        <x:v>124.53416998544525</x:v>
      </x:c>
      <x:c r="AV28" s="17" t="n">
        <x:f>AVERAGE(H28:J28)</x:f>
        <x:v>169.309519</x:v>
      </x:c>
      <x:c r="AW28" s="17" t="n">
        <x:f>STDEV.S(H28:J28)</x:f>
        <x:v>134.24470339554543</x:v>
      </x:c>
      <x:c r="AX28" s="17" t="n">
        <x:f>AV28-AT28</x:f>
        <x:v>74.98372166666665</x:v>
      </x:c>
      <x:c r="AY28" s="17" t="n">
        <x:f>LOG((AV28+1)/(AT28+1),2)</x:f>
        <x:v>0.8372204746474725</x:v>
      </x:c>
      <x:c r="AZ28" s="17" t="n">
        <x:f>AVERAGE(E28:J28)</x:f>
        <x:v>131.8176581666667</x:v>
      </x:c>
      <x:c r="BA28" s="17" t="n">
        <x:f>MAX(E28:J28)</x:f>
        <x:v>302.843043</x:v>
      </x:c>
      <x:c r="BB28" s="20" t="n">
        <x:f>IF(Q28="provisional_HQ_domain",2,0)+IF(Y28,1,0)+IF(AB28,1,0)+IF(AI28&lt;&gt;"",1,0)+IF(AP28+AQ28&gt;0,1,0)</x:f>
        <x:v>5</x:v>
      </x:c>
      <x:c r="BC28" t="str">
        <x:f>IF(OR(ISNUMBER(SEARCH("exclude",U28)),ISNUMBER(SEARCH("hold",U28)),ISNUMBER(SEARCH("hold",W28))),"Review",IF(BB28&gt;=5,"Strong multi-evidence",IF(BB28&gt;=3,"Supported","Weak/inspect")))</x:f>
        <x:v>Strong multi-evidence</x:v>
      </x:c>
    </x:row>
    <x:row r="29">
      <x:c r="A29" t="str">
        <x:v>GST</x:v>
      </x:c>
      <x:c r="B29" t="str">
        <x:v>TRINITY_DN1430_c2_g2</x:v>
      </x:c>
      <x:c r="C29" t="str">
        <x:v>no</x:v>
      </x:c>
      <x:c r="D29" t="n">
        <x:v>1</x:v>
      </x:c>
      <x:c r="E29" s="17" t="n">
        <x:v>75.483824</x:v>
      </x:c>
      <x:c r="F29" s="17" t="n">
        <x:v>96.2216</x:v>
      </x:c>
      <x:c r="G29" s="17" t="n">
        <x:v>65.533336</x:v>
      </x:c>
      <x:c r="H29" s="17" t="n">
        <x:v>121.314948</x:v>
      </x:c>
      <x:c r="I29" s="17" t="n">
        <x:v>110.519987</x:v>
      </x:c>
      <x:c r="J29" s="17" t="n">
        <x:v>110.809122</x:v>
      </x:c>
      <x:c r="K29" s="17" t="n">
        <x:v>65.82043200000001</x:v>
      </x:c>
      <x:c r="L29" s="17" t="n">
        <x:v>92.3762174</x:v>
      </x:c>
      <x:c r="M29" s="17" t="n">
        <x:v>26.55578539999999</x:v>
      </x:c>
      <x:c r="N29" s="18" t="n">
        <x:v>0.999999010765626</x:v>
      </x:c>
      <x:c r="O29" t="str">
        <x:v>TRINITY_DN1430_c2_g2_i1.p1</x:v>
      </x:c>
      <x:c r="P29" t="n">
        <x:v>150</x:v>
      </x:c>
      <x:c r="Q29" t="str">
        <x:v>review</x:v>
      </x:c>
      <x:c r="R29" t="str">
        <x:v>no_family_defining_domain_in_current_core_table</x:v>
      </x:c>
      <x:c r="S29" t="str">
        <x:v>IPR013766;PF00085</x:v>
      </x:c>
      <x:c r="T29" t="str">
        <x:v>Thioredoxin;Thioredoxin domain</x:v>
      </x:c>
      <x:c r="U29" t="str">
        <x:v>exclude_from_canonical_detox_GST</x:v>
      </x:c>
      <x:c r="V29" t="str">
        <x:v>alternative protein family; no canonical cytosolic GST domain</x:v>
      </x:c>
      <x:c r="W29"/>
      <x:c r="X29"/>
      <x:c r="Y29" s="15" t="b">
        <x:v>1</x:v>
      </x:c>
      <x:c r="Z29" s="15" t="b">
        <x:v>0</x:v>
      </x:c>
      <x:c r="AA29" s="15" t="b">
        <x:v>1</x:v>
      </x:c>
      <x:c r="AB29" s="15" t="b">
        <x:v>1</x:v>
      </x:c>
      <x:c r="AC29" t="str">
        <x:v>Spodoptera|XP_035445331.2</x:v>
      </x:c>
      <x:c r="AD29" s="19" t="n">
        <x:v>1.1e-91</x:v>
      </x:c>
      <x:c r="AE29" t="n">
        <x:v>254</x:v>
      </x:c>
      <x:c r="AF29" t="n">
        <x:v>84.667</x:v>
      </x:c>
      <x:c r="AG29" t="n">
        <x:v>100.671</x:v>
      </x:c>
      <x:c r="AH29" t="n">
        <x:v>100.671</x:v>
      </x:c>
      <x:c r="AI29" t="str">
        <x:v>sp|P97615|THIOM_RAT</x:v>
      </x:c>
      <x:c r="AJ29" t="str">
        <x:v>sp|P97615|THIOM_RAT Thioredoxin, mitochondrial OS=Rattus norvegicus OX=10116 GN=Txn2 PE=2 SV=1</x:v>
      </x:c>
      <x:c r="AK29" s="19" t="n">
        <x:v>7.12e-38</x:v>
      </x:c>
      <x:c r="AL29" t="n">
        <x:v>129</x:v>
      </x:c>
      <x:c r="AM29" t="n">
        <x:v>50.9</x:v>
      </x:c>
      <x:c r="AN29" t="n">
        <x:v>75.16778523489933</x:v>
      </x:c>
      <x:c r="AO29" t="n">
        <x:v>67.46987951807229</x:v>
      </x:c>
      <x:c r="AP29" t="n">
        <x:v>0</x:v>
      </x:c>
      <x:c r="AQ29" t="n">
        <x:v>0</x:v>
      </x:c>
      <x:c r="AR29" t="str">
        <x:v>GST_C006</x:v>
      </x:c>
      <x:c r="AS29" t="n">
        <x:v>1</x:v>
      </x:c>
      <x:c r="AT29" s="17" t="n">
        <x:f>AVERAGE(E29:G29)</x:f>
        <x:v>79.07958666666667</x:v>
      </x:c>
      <x:c r="AU29" s="17" t="n">
        <x:f>STDEV.S(E29:G29)</x:f>
        <x:v>15.656931969567639</x:v>
      </x:c>
      <x:c r="AV29" s="17" t="n">
        <x:f>AVERAGE(H29:J29)</x:f>
        <x:v>114.21468566666665</x:v>
      </x:c>
      <x:c r="AW29" s="17" t="n">
        <x:f>STDEV.S(H29:J29)</x:f>
        <x:v>6.150706761313722</x:v>
      </x:c>
      <x:c r="AX29" s="17" t="n">
        <x:f>AV29-AT29</x:f>
        <x:v>35.13509899999998</x:v>
      </x:c>
      <x:c r="AY29" s="17" t="n">
        <x:f>LOG((AV29+1)/(AT29+1),2)</x:f>
        <x:v>0.5248181866655742</x:v>
      </x:c>
      <x:c r="AZ29" s="17" t="n">
        <x:f>AVERAGE(E29:J29)</x:f>
        <x:v>96.64713616666667</x:v>
      </x:c>
      <x:c r="BA29" s="17" t="n">
        <x:f>MAX(E29:J29)</x:f>
        <x:v>121.314948</x:v>
      </x:c>
      <x:c r="BB29" s="20" t="n">
        <x:f>IF(Q29="provisional_HQ_domain",2,0)+IF(Y29,1,0)+IF(AB29,1,0)+IF(AI29&lt;&gt;"",1,0)+IF(AP29+AQ29&gt;0,1,0)</x:f>
        <x:v>3</x:v>
      </x:c>
      <x:c r="BC29" t="str">
        <x:f>IF(OR(ISNUMBER(SEARCH("exclude",U29)),ISNUMBER(SEARCH("hold",U29)),ISNUMBER(SEARCH("hold",W29))),"Review",IF(BB29&gt;=5,"Strong multi-evidence",IF(BB29&gt;=3,"Supported","Weak/inspect")))</x:f>
        <x:v>Review</x:v>
      </x:c>
    </x:row>
    <x:row r="30">
      <x:c r="A30" t="str">
        <x:v>GST</x:v>
      </x:c>
      <x:c r="B30" t="str">
        <x:v>TRINITY_DN163_c3_g1</x:v>
      </x:c>
      <x:c r="C30" t="str">
        <x:v>yes</x:v>
      </x:c>
      <x:c r="D30" t="n">
        <x:v>1</x:v>
      </x:c>
      <x:c r="E30" s="17" t="n">
        <x:v>1.267673</x:v>
      </x:c>
      <x:c r="F30" s="17" t="n">
        <x:v>3.911892</x:v>
      </x:c>
      <x:c r="G30" s="17" t="n">
        <x:v>0.263767</x:v>
      </x:c>
      <x:c r="H30" s="17" t="n">
        <x:v>3.886035</x:v>
      </x:c>
      <x:c r="I30" s="17" t="n">
        <x:v>3.155135</x:v>
      </x:c>
      <x:c r="J30" s="17" t="n">
        <x:v>3.318809</x:v>
      </x:c>
      <x:c r="K30" s="17" t="n">
        <x:v>1.7592963999999998</x:v>
      </x:c>
      <x:c r="L30" s="17" t="n">
        <x:v>2.8252981999999998</x:v>
      </x:c>
      <x:c r="M30" s="17" t="n">
        <x:v>1.0660018</x:v>
      </x:c>
      <x:c r="N30" s="18" t="n">
        <x:v>0.999999010765626</x:v>
      </x:c>
      <x:c r="O30" t="str">
        <x:v>TRINITY_DN163_c3_g1_i1.p1</x:v>
      </x:c>
      <x:c r="P30" t="n">
        <x:v>218</x:v>
      </x:c>
      <x:c r="Q30" t="str">
        <x:v>provisional_HQ_domain</x:v>
      </x:c>
      <x:c r="R30" t="str">
        <x:v>family_defining_domain_detected</x:v>
      </x:c>
      <x:c r="S30" t="str">
        <x:v>IPR004045;IPR004046;PF00043;PF13417</x:v>
      </x:c>
      <x:c r="T30" t="str">
        <x:v>Glutathione S-transferase, C-terminal;Glutathione S-transferase, C-terminal domain;Glutathione S-transferase, N-terminal;Glutathione S-transferase, N-terminal domain</x:v>
      </x:c>
      <x:c r="U30"/>
      <x:c r="V30"/>
      <x:c r="W30"/>
      <x:c r="X30"/>
      <x:c r="Y30" s="15" t="b">
        <x:v>1</x:v>
      </x:c>
      <x:c r="Z30" s="15" t="b">
        <x:v>0</x:v>
      </x:c>
      <x:c r="AA30" s="15" t="b">
        <x:v>1</x:v>
      </x:c>
      <x:c r="AB30" s="15" t="b">
        <x:v>1</x:v>
      </x:c>
      <x:c r="AC30" t="str">
        <x:v>Spodoptera|XP_050557548.1</x:v>
      </x:c>
      <x:c r="AD30" s="19" t="n">
        <x:v>9.36e-110</x:v>
      </x:c>
      <x:c r="AE30" t="n">
        <x:v>306</x:v>
      </x:c>
      <x:c r="AF30" t="n">
        <x:v>64.977</x:v>
      </x:c>
      <x:c r="AG30" t="n">
        <x:v>100</x:v>
      </x:c>
      <x:c r="AH30" t="n">
        <x:v>100</x:v>
      </x:c>
      <x:c r="AI30" t="str">
        <x:v>sp|P46430|GSTT1_MANSE</x:v>
      </x:c>
      <x:c r="AJ30" t="str">
        <x:v>sp|P46430|GSTT1_MANSE Glutathione S-transferase 1 OS=Manduca sexta OX=7130 GN=GST1 PE=2 SV=1</x:v>
      </x:c>
      <x:c r="AK30" s="19" t="n">
        <x:v>7.54e-54</x:v>
      </x:c>
      <x:c r="AL30" t="n">
        <x:v>174</x:v>
      </x:c>
      <x:c r="AM30" t="n">
        <x:v>42.7</x:v>
      </x:c>
      <x:c r="AN30" t="n">
        <x:v>98.15668202764977</x:v>
      </x:c>
      <x:c r="AO30" t="n">
        <x:v>98.15668202764977</x:v>
      </x:c>
      <x:c r="AP30" t="n">
        <x:v>0</x:v>
      </x:c>
      <x:c r="AQ30" t="n">
        <x:v>0</x:v>
      </x:c>
      <x:c r="AR30" t="str">
        <x:v>GST_C001</x:v>
      </x:c>
      <x:c r="AS30" t="n">
        <x:v>8</x:v>
      </x:c>
      <x:c r="AT30" s="17" t="n">
        <x:f>AVERAGE(E30:G30)</x:f>
        <x:v>1.814444</x:v>
      </x:c>
      <x:c r="AU30" s="17" t="n">
        <x:f>STDEV.S(E30:G30)</x:f>
        <x:v>1.8845219284309218</x:v>
      </x:c>
      <x:c r="AV30" s="17" t="n">
        <x:f>AVERAGE(H30:J30)</x:f>
        <x:v>3.453326333333333</x:v>
      </x:c>
      <x:c r="AW30" s="17" t="n">
        <x:f>STDEV.S(H30:J30)</x:f>
        <x:v>0.3835686212730825</x:v>
      </x:c>
      <x:c r="AX30" s="17" t="n">
        <x:f>AV30-AT30</x:f>
        <x:v>1.638882333333333</x:v>
      </x:c>
      <x:c r="AY30" s="17" t="n">
        <x:f>LOG((AV30+1)/(AT30+1),2)</x:f>
        <x:v>0.6620333915956029</x:v>
      </x:c>
      <x:c r="AZ30" s="17" t="n">
        <x:f>AVERAGE(E30:J30)</x:f>
        <x:v>2.6338851666666665</x:v>
      </x:c>
      <x:c r="BA30" s="17" t="n">
        <x:f>MAX(E30:J30)</x:f>
        <x:v>3.911892</x:v>
      </x:c>
      <x:c r="BB30" s="20" t="n">
        <x:f>IF(Q30="provisional_HQ_domain",2,0)+IF(Y30,1,0)+IF(AB30,1,0)+IF(AI30&lt;&gt;"",1,0)+IF(AP30+AQ30&gt;0,1,0)</x:f>
        <x:v>5</x:v>
      </x:c>
      <x:c r="BC30" t="str">
        <x:f>IF(OR(ISNUMBER(SEARCH("exclude",U30)),ISNUMBER(SEARCH("hold",U30)),ISNUMBER(SEARCH("hold",W30))),"Review",IF(BB30&gt;=5,"Strong multi-evidence",IF(BB30&gt;=3,"Supported","Weak/inspect")))</x:f>
        <x:v>Strong multi-evidence</x:v>
      </x:c>
    </x:row>
    <x:row r="31">
      <x:c r="A31" t="str">
        <x:v>GST</x:v>
      </x:c>
      <x:c r="B31" t="str">
        <x:v>TRINITY_DN1682_c0_g2</x:v>
      </x:c>
      <x:c r="C31" t="str">
        <x:v>no</x:v>
      </x:c>
      <x:c r="D31" t="n">
        <x:v>2</x:v>
      </x:c>
      <x:c r="E31" s="17" t="n">
        <x:v>34.596573</x:v>
      </x:c>
      <x:c r="F31" s="17" t="n">
        <x:v>52.163227000000006</x:v>
      </x:c>
      <x:c r="G31" s="17" t="n">
        <x:v>4.623584</x:v>
      </x:c>
      <x:c r="H31" s="17" t="n">
        <x:v>32.359995</x:v>
      </x:c>
      <x:c r="I31" s="17" t="n">
        <x:v>39.067121</x:v>
      </x:c>
      <x:c r="J31" s="17" t="n">
        <x:v>20.001053</x:v>
      </x:c>
      <x:c r="K31" s="17" t="n">
        <x:v>28.3075288</x:v>
      </x:c>
      <x:c r="L31" s="17" t="n">
        <x:v>26.024825799999995</x:v>
      </x:c>
      <x:c r="M31" s="17" t="n">
        <x:v>-2.282703000000005</x:v>
      </x:c>
      <x:c r="N31" s="18" t="n">
        <x:v>0.973267361652975</x:v>
      </x:c>
      <x:c r="O31" t="str">
        <x:v>TRINITY_DN1682_c0_g2_i2.p1</x:v>
      </x:c>
      <x:c r="P31" t="n">
        <x:v>247</x:v>
      </x:c>
      <x:c r="Q31" t="str">
        <x:v>provisional_HQ_domain</x:v>
      </x:c>
      <x:c r="R31" t="str">
        <x:v>family_defining_domain_detected</x:v>
      </x:c>
      <x:c r="S31" t="str">
        <x:v>IPR004045;IPR004046;PF00043;PF02798</x:v>
      </x:c>
      <x:c r="T31" t="str">
        <x:v>Glutathione S-transferase, C-terminal;Glutathione S-transferase, C-terminal domain;Glutathione S-transferase, N-terminal;Glutathione S-transferase, N-terminal domain</x:v>
      </x:c>
      <x:c r="U31"/>
      <x:c r="V31"/>
      <x:c r="W31"/>
      <x:c r="X31"/>
      <x:c r="Y31" s="15" t="b">
        <x:v>1</x:v>
      </x:c>
      <x:c r="Z31" s="15" t="b">
        <x:v>0</x:v>
      </x:c>
      <x:c r="AA31" s="15" t="b">
        <x:v>1</x:v>
      </x:c>
      <x:c r="AB31" s="15" t="b">
        <x:v>1</x:v>
      </x:c>
      <x:c r="AC31" t="str">
        <x:v>Spodoptera|XP_050558885.1</x:v>
      </x:c>
      <x:c r="AD31" s="19" t="n">
        <x:v>2.7e-119</x:v>
      </x:c>
      <x:c r="AE31" t="n">
        <x:v>340</x:v>
      </x:c>
      <x:c r="AF31" t="n">
        <x:v>71.171</x:v>
      </x:c>
      <x:c r="AG31" t="n">
        <x:v>90.2439</x:v>
      </x:c>
      <x:c r="AH31" t="n">
        <x:v>49.3333</x:v>
      </x:c>
      <x:c r="AI31" t="str">
        <x:v>sp|P46430|GSTT1_MANSE</x:v>
      </x:c>
      <x:c r="AJ31" t="str">
        <x:v>sp|P46430|GSTT1_MANSE Glutathione S-transferase 1 OS=Manduca sexta OX=7130 GN=GST1 PE=2 SV=1</x:v>
      </x:c>
      <x:c r="AK31" s="19" t="n">
        <x:v>2.92e-38</x:v>
      </x:c>
      <x:c r="AL31" t="n">
        <x:v>135</x:v>
      </x:c>
      <x:c r="AM31" t="n">
        <x:v>38.6</x:v>
      </x:c>
      <x:c r="AN31" t="n">
        <x:v>84.14634146341463</x:v>
      </x:c>
      <x:c r="AO31" t="n">
        <x:v>95.39170506912443</x:v>
      </x:c>
      <x:c r="AP31" t="n">
        <x:v>0</x:v>
      </x:c>
      <x:c r="AQ31" t="n">
        <x:v>0</x:v>
      </x:c>
      <x:c r="AR31" t="str">
        <x:v>GST_C001</x:v>
      </x:c>
      <x:c r="AS31" t="n">
        <x:v>8</x:v>
      </x:c>
      <x:c r="AT31" s="17" t="n">
        <x:f>AVERAGE(E31:G31)</x:f>
        <x:v>30.461128000000002</x:v>
      </x:c>
      <x:c r="AU31" s="17" t="n">
        <x:f>STDEV.S(E31:G31)</x:f>
        <x:v>24.03811230427383</x:v>
      </x:c>
      <x:c r="AV31" s="17" t="n">
        <x:f>AVERAGE(H31:J31)</x:f>
        <x:v>30.476056333333332</x:v>
      </x:c>
      <x:c r="AW31" s="17" t="n">
        <x:f>STDEV.S(H31:J31)</x:f>
        <x:v>9.671641842002698</x:v>
      </x:c>
      <x:c r="AX31" s="17" t="n">
        <x:f>AV31-AT31</x:f>
        <x:v>0.014928333333330102</x:v>
      </x:c>
      <x:c r="AY31" s="17" t="n">
        <x:f>LOG((AV31+1)/(AT31+1),2)</x:f>
        <x:v>0.0006843977245174401</x:v>
      </x:c>
      <x:c r="AZ31" s="17" t="n">
        <x:f>AVERAGE(E31:J31)</x:f>
        <x:v>30.468592166666667</x:v>
      </x:c>
      <x:c r="BA31" s="17" t="n">
        <x:f>MAX(E31:J31)</x:f>
        <x:v>52.163227000000006</x:v>
      </x:c>
      <x:c r="BB31" s="20" t="n">
        <x:f>IF(Q31="provisional_HQ_domain",2,0)+IF(Y31,1,0)+IF(AB31,1,0)+IF(AI31&lt;&gt;"",1,0)+IF(AP31+AQ31&gt;0,1,0)</x:f>
        <x:v>5</x:v>
      </x:c>
      <x:c r="BC31" t="str">
        <x:f>IF(OR(ISNUMBER(SEARCH("exclude",U31)),ISNUMBER(SEARCH("hold",U31)),ISNUMBER(SEARCH("hold",W31))),"Review",IF(BB31&gt;=5,"Strong multi-evidence",IF(BB31&gt;=3,"Supported","Weak/inspect")))</x:f>
        <x:v>Strong multi-evidence</x:v>
      </x:c>
    </x:row>
    <x:row r="32">
      <x:c r="A32" t="str">
        <x:v>GST</x:v>
      </x:c>
      <x:c r="B32" t="str">
        <x:v>TRINITY_DN18158_c2_g1</x:v>
      </x:c>
      <x:c r="C32" t="str">
        <x:v>yes</x:v>
      </x:c>
      <x:c r="D32" t="n">
        <x:v>1</x:v>
      </x:c>
      <x:c r="E32" s="17" t="n">
        <x:v>0</x:v>
      </x:c>
      <x:c r="F32" s="17" t="n">
        <x:v>0.834769</x:v>
      </x:c>
      <x:c r="G32" s="17" t="n">
        <x:v>0.279039</x:v>
      </x:c>
      <x:c r="H32" s="17" t="n">
        <x:v>0.092438</x:v>
      </x:c>
      <x:c r="I32" s="17" t="n">
        <x:v>0.697079</x:v>
      </x:c>
      <x:c r="J32" s="17" t="n">
        <x:v>0</x:v>
      </x:c>
      <x:c r="K32" s="17" t="n">
        <x:v>0.3664108</x:v>
      </x:c>
      <x:c r="L32" s="17" t="n">
        <x:v>0.27236380000000004</x:v>
      </x:c>
      <x:c r="M32" s="17" t="n">
        <x:v>-0.09404699999999994</x:v>
      </x:c>
      <x:c r="N32" s="18" t="n">
        <x:v>0.999999010765626</x:v>
      </x:c>
      <x:c r="O32" t="str">
        <x:v>TRINITY_DN18158_c2_g1_i1.p1</x:v>
      </x:c>
      <x:c r="P32" t="n">
        <x:v>114</x:v>
      </x:c>
      <x:c r="Q32" t="str">
        <x:v>provisional_HQ_domain</x:v>
      </x:c>
      <x:c r="R32" t="str">
        <x:v>family_defining_domain_detected</x:v>
      </x:c>
      <x:c r="S32" t="str">
        <x:v>IPR004046;PF14497</x:v>
      </x:c>
      <x:c r="T32" t="str">
        <x:v>Glutathione S-transferase, C-terminal;Glutathione S-transferase, C-terminal domain</x:v>
      </x:c>
      <x:c r="U32"/>
      <x:c r="V32"/>
      <x:c r="W32"/>
      <x:c r="X32"/>
      <x:c r="Y32" s="15" t="b">
        <x:v>1</x:v>
      </x:c>
      <x:c r="Z32" s="15" t="b">
        <x:v>0</x:v>
      </x:c>
      <x:c r="AA32" s="15" t="b">
        <x:v>1</x:v>
      </x:c>
      <x:c r="AB32" s="15" t="b">
        <x:v>1</x:v>
      </x:c>
      <x:c r="AC32" t="str">
        <x:v>Spodoptera|XP_050559253.1</x:v>
      </x:c>
      <x:c r="AD32" s="19" t="n">
        <x:v>2.54e-59</x:v>
      </x:c>
      <x:c r="AE32" t="n">
        <x:v>174</x:v>
      </x:c>
      <x:c r="AF32" t="n">
        <x:v>72.807</x:v>
      </x:c>
      <x:c r="AG32" t="n">
        <x:v>100</x:v>
      </x:c>
      <x:c r="AH32" t="n">
        <x:v>51.1211</x:v>
      </x:c>
      <x:c r="AI32"/>
      <x:c r="AJ32"/>
      <x:c r="AK32" s="19"/>
      <x:c r="AL32"/>
      <x:c r="AM32"/>
      <x:c r="AN32"/>
      <x:c r="AO32"/>
      <x:c r="AP32" t="n">
        <x:v>0</x:v>
      </x:c>
      <x:c r="AQ32" t="n">
        <x:v>0</x:v>
      </x:c>
      <x:c r="AR32" t="str">
        <x:v>GST_C001</x:v>
      </x:c>
      <x:c r="AS32" t="n">
        <x:v>8</x:v>
      </x:c>
      <x:c r="AT32" s="17" t="n">
        <x:f>AVERAGE(E32:G32)</x:f>
        <x:v>0.3712693333333333</x:v>
      </x:c>
      <x:c r="AU32" s="17" t="n">
        <x:f>STDEV.S(E32:G32)</x:f>
        <x:v>0.4249584057650035</x:v>
      </x:c>
      <x:c r="AV32" s="17" t="n">
        <x:f>AVERAGE(H32:J32)</x:f>
        <x:v>0.26317233333333334</x:v>
      </x:c>
      <x:c r="AW32" s="17" t="n">
        <x:f>STDEV.S(H32:J32)</x:f>
        <x:v>0.37860591978247427</x:v>
      </x:c>
      <x:c r="AX32" s="17" t="n">
        <x:f>AV32-AT32</x:f>
        <x:v>-0.10809699999999994</x:v>
      </x:c>
      <x:c r="AY32" s="17" t="n">
        <x:f>LOG((AV32+1)/(AT32+1),2)</x:f>
        <x:v>-0.11846048313705239</x:v>
      </x:c>
      <x:c r="AZ32" s="17" t="n">
        <x:f>AVERAGE(E32:J32)</x:f>
        <x:v>0.31722083333333334</x:v>
      </x:c>
      <x:c r="BA32" s="17" t="n">
        <x:f>MAX(E32:J32)</x:f>
        <x:v>0.834769</x:v>
      </x:c>
      <x:c r="BB32" s="20" t="n">
        <x:f>IF(Q32="provisional_HQ_domain",2,0)+IF(Y32,1,0)+IF(AB32,1,0)+IF(AI32&lt;&gt;"",1,0)+IF(AP32+AQ32&gt;0,1,0)</x:f>
        <x:v>4</x:v>
      </x:c>
      <x:c r="BC32" t="str">
        <x:f>IF(OR(ISNUMBER(SEARCH("exclude",U32)),ISNUMBER(SEARCH("hold",U32)),ISNUMBER(SEARCH("hold",W32))),"Review",IF(BB32&gt;=5,"Strong multi-evidence",IF(BB32&gt;=3,"Supported","Weak/inspect")))</x:f>
        <x:v>Supported</x:v>
      </x:c>
    </x:row>
    <x:row r="33">
      <x:c r="A33" t="str">
        <x:v>GST</x:v>
      </x:c>
      <x:c r="B33" t="str">
        <x:v>TRINITY_DN18158_c2_g2</x:v>
      </x:c>
      <x:c r="C33" t="str">
        <x:v>yes</x:v>
      </x:c>
      <x:c r="D33" t="n">
        <x:v>1</x:v>
      </x:c>
      <x:c r="E33" s="17" t="n">
        <x:v>0</x:v>
      </x:c>
      <x:c r="F33" s="17" t="n">
        <x:v>0</x:v>
      </x:c>
      <x:c r="G33" s="17" t="n">
        <x:v>0.01378</x:v>
      </x:c>
      <x:c r="H33" s="17" t="n">
        <x:v>0.483617</x:v>
      </x:c>
      <x:c r="I33" s="17" t="n">
        <x:v>3.760447</x:v>
      </x:c>
      <x:c r="J33" s="17" t="n">
        <x:v>0.048699</x:v>
      </x:c>
      <x:c r="K33" s="17" t="n">
        <x:v>0.0049738560000000005</x:v>
      </x:c>
      <x:c r="L33" s="17" t="n">
        <x:v>1.4760906</x:v>
      </x:c>
      <x:c r="M33" s="17" t="n">
        <x:v>1.471116744</x:v>
      </x:c>
      <x:c r="N33" s="18" t="n">
        <x:v>0.0213814690379812</x:v>
      </x:c>
      <x:c r="O33" t="str">
        <x:v>TRINITY_DN18158_c2_g2_i1.p1</x:v>
      </x:c>
      <x:c r="P33" t="n">
        <x:v>227</x:v>
      </x:c>
      <x:c r="Q33" t="str">
        <x:v>provisional_HQ_domain</x:v>
      </x:c>
      <x:c r="R33" t="str">
        <x:v>family_defining_domain_detected</x:v>
      </x:c>
      <x:c r="S33" t="str">
        <x:v>IPR004045;IPR004046;PF02798;PF14497</x:v>
      </x:c>
      <x:c r="T33" t="str">
        <x:v>Glutathione S-transferase, C-terminal;Glutathione S-transferase, C-terminal domain;Glutathione S-transferase, N-terminal;Glutathione S-transferase, N-terminal domain</x:v>
      </x:c>
      <x:c r="U33"/>
      <x:c r="V33"/>
      <x:c r="W33"/>
      <x:c r="X33"/>
      <x:c r="Y33" s="15" t="b">
        <x:v>1</x:v>
      </x:c>
      <x:c r="Z33" s="15" t="b">
        <x:v>0</x:v>
      </x:c>
      <x:c r="AA33" s="15" t="b">
        <x:v>1</x:v>
      </x:c>
      <x:c r="AB33" s="15" t="b">
        <x:v>1</x:v>
      </x:c>
      <x:c r="AC33" t="str">
        <x:v>Spodoptera|XP_050559253.1</x:v>
      </x:c>
      <x:c r="AD33" s="19" t="n">
        <x:v>2.33e-134</x:v>
      </x:c>
      <x:c r="AE33" t="n">
        <x:v>369</x:v>
      </x:c>
      <x:c r="AF33" t="n">
        <x:v>78.667</x:v>
      </x:c>
      <x:c r="AG33" t="n">
        <x:v>99.5575</x:v>
      </x:c>
      <x:c r="AH33" t="n">
        <x:v>100.897</x:v>
      </x:c>
      <x:c r="AI33" t="str">
        <x:v>sp|P46430|GSTT1_MANSE</x:v>
      </x:c>
      <x:c r="AJ33" t="str">
        <x:v>sp|P46430|GSTT1_MANSE Glutathione S-transferase 1 OS=Manduca sexta OX=7130 GN=GST1 PE=2 SV=1</x:v>
      </x:c>
      <x:c r="AK33" s="19" t="n">
        <x:v>1.71e-34</x:v>
      </x:c>
      <x:c r="AL33" t="n">
        <x:v>125</x:v>
      </x:c>
      <x:c r="AM33" t="n">
        <x:v>36.2</x:v>
      </x:c>
      <x:c r="AN33" t="n">
        <x:v>96.46017699115045</x:v>
      </x:c>
      <x:c r="AO33" t="n">
        <x:v>100.46082949308756</x:v>
      </x:c>
      <x:c r="AP33" t="n">
        <x:v>0</x:v>
      </x:c>
      <x:c r="AQ33" t="n">
        <x:v>0</x:v>
      </x:c>
      <x:c r="AR33" t="str">
        <x:v>GST_C001</x:v>
      </x:c>
      <x:c r="AS33" t="n">
        <x:v>8</x:v>
      </x:c>
      <x:c r="AT33" s="17" t="n">
        <x:f>AVERAGE(E33:G33)</x:f>
        <x:v>0.004593333333333334</x:v>
      </x:c>
      <x:c r="AU33" s="17" t="n">
        <x:f>STDEV.S(E33:G33)</x:f>
        <x:v>0.007955886709433042</x:v>
      </x:c>
      <x:c r="AV33" s="17" t="n">
        <x:f>AVERAGE(H33:J33)</x:f>
        <x:v>1.4309209999999999</x:v>
      </x:c>
      <x:c r="AW33" s="17" t="n">
        <x:f>STDEV.S(H33:J33)</x:f>
        <x:v>2.0291148206023237</x:v>
      </x:c>
      <x:c r="AX33" s="17" t="n">
        <x:f>AV33-AT33</x:f>
        <x:v>1.4263276666666667</x:v>
      </x:c>
      <x:c r="AY33" s="17" t="n">
        <x:f>LOG((AV33+1)/(AT33+1),2)</x:f>
        <x:v>1.2748914033032113</x:v>
      </x:c>
      <x:c r="AZ33" s="17" t="n">
        <x:f>AVERAGE(E33:J33)</x:f>
        <x:v>0.7177571666666668</x:v>
      </x:c>
      <x:c r="BA33" s="17" t="n">
        <x:f>MAX(E33:J33)</x:f>
        <x:v>3.760447</x:v>
      </x:c>
      <x:c r="BB33" s="20" t="n">
        <x:f>IF(Q33="provisional_HQ_domain",2,0)+IF(Y33,1,0)+IF(AB33,1,0)+IF(AI33&lt;&gt;"",1,0)+IF(AP33+AQ33&gt;0,1,0)</x:f>
        <x:v>5</x:v>
      </x:c>
      <x:c r="BC33" t="str">
        <x:f>IF(OR(ISNUMBER(SEARCH("exclude",U33)),ISNUMBER(SEARCH("hold",U33)),ISNUMBER(SEARCH("hold",W33))),"Review",IF(BB33&gt;=5,"Strong multi-evidence",IF(BB33&gt;=3,"Supported","Weak/inspect")))</x:f>
        <x:v>Strong multi-evidence</x:v>
      </x:c>
    </x:row>
    <x:row r="34">
      <x:c r="A34" t="str">
        <x:v>GST</x:v>
      </x:c>
      <x:c r="B34" t="str">
        <x:v>TRINITY_DN1824_c0_g1</x:v>
      </x:c>
      <x:c r="C34" t="str">
        <x:v>yes</x:v>
      </x:c>
      <x:c r="D34" t="n">
        <x:v>1</x:v>
      </x:c>
      <x:c r="E34" s="17" t="n">
        <x:v>6.71759</x:v>
      </x:c>
      <x:c r="F34" s="17" t="n">
        <x:v>7.577001</x:v>
      </x:c>
      <x:c r="G34" s="17" t="n">
        <x:v>5.120009</x:v>
      </x:c>
      <x:c r="H34" s="17" t="n">
        <x:v>3.943155</x:v>
      </x:c>
      <x:c r="I34" s="17" t="n">
        <x:v>3.10422</x:v>
      </x:c>
      <x:c r="J34" s="17" t="n">
        <x:v>5.958991</x:v>
      </x:c>
      <x:c r="K34" s="17" t="n">
        <x:v>5.380834</x:v>
      </x:c>
      <x:c r="L34" s="17" t="n">
        <x:v>3.7079672</x:v>
      </x:c>
      <x:c r="M34" s="17" t="n">
        <x:v>-1.6728668</x:v>
      </x:c>
      <x:c r="N34" s="18" t="n">
        <x:v>0.653927563330792</x:v>
      </x:c>
      <x:c r="O34" t="str">
        <x:v>TRINITY_DN1824_c0_g1_i1.p1</x:v>
      </x:c>
      <x:c r="P34" t="n">
        <x:v>226</x:v>
      </x:c>
      <x:c r="Q34" t="str">
        <x:v>provisional_HQ_domain</x:v>
      </x:c>
      <x:c r="R34" t="str">
        <x:v>family_defining_domain_detected</x:v>
      </x:c>
      <x:c r="S34" t="str">
        <x:v>IPR004045;IPR004046;PF00043;PF13417</x:v>
      </x:c>
      <x:c r="T34" t="str">
        <x:v>Glutathione S-transferase, C-terminal;Glutathione S-transferase, C-terminal domain;Glutathione S-transferase, N-terminal;Glutathione S-transferase, N-terminal domain</x:v>
      </x:c>
      <x:c r="U34"/>
      <x:c r="V34"/>
      <x:c r="W34"/>
      <x:c r="X34"/>
      <x:c r="Y34" s="15" t="b">
        <x:v>1</x:v>
      </x:c>
      <x:c r="Z34" s="15" t="b">
        <x:v>0</x:v>
      </x:c>
      <x:c r="AA34" s="15" t="b">
        <x:v>1</x:v>
      </x:c>
      <x:c r="AB34" s="15" t="b">
        <x:v>1</x:v>
      </x:c>
      <x:c r="AC34" t="str">
        <x:v>Spodoptera|XP_035441818.2</x:v>
      </x:c>
      <x:c r="AD34" s="19" t="n">
        <x:v>3.69e-120</x:v>
      </x:c>
      <x:c r="AE34" t="n">
        <x:v>333</x:v>
      </x:c>
      <x:c r="AF34" t="n">
        <x:v>73.364</x:v>
      </x:c>
      <x:c r="AG34" t="n">
        <x:v>95.1111</x:v>
      </x:c>
      <x:c r="AH34" t="n">
        <x:v>93.0435</x:v>
      </x:c>
      <x:c r="AI34" t="str">
        <x:v>sp|P46430|GSTT1_MANSE</x:v>
      </x:c>
      <x:c r="AJ34" t="str">
        <x:v>sp|P46430|GSTT1_MANSE Glutathione S-transferase 1 OS=Manduca sexta OX=7130 GN=GST1 PE=2 SV=1</x:v>
      </x:c>
      <x:c r="AK34" s="19" t="n">
        <x:v>2.13e-47</x:v>
      </x:c>
      <x:c r="AL34" t="n">
        <x:v>158</x:v>
      </x:c>
      <x:c r="AM34" t="n">
        <x:v>42.8</x:v>
      </x:c>
      <x:c r="AN34" t="n">
        <x:v>92.44444444444444</x:v>
      </x:c>
      <x:c r="AO34" t="n">
        <x:v>95.85253456221199</x:v>
      </x:c>
      <x:c r="AP34" t="n">
        <x:v>0</x:v>
      </x:c>
      <x:c r="AQ34" t="n">
        <x:v>0</x:v>
      </x:c>
      <x:c r="AR34" t="str">
        <x:v>GST_C001</x:v>
      </x:c>
      <x:c r="AS34" t="n">
        <x:v>8</x:v>
      </x:c>
      <x:c r="AT34" s="17" t="n">
        <x:f>AVERAGE(E34:G34)</x:f>
        <x:v>6.471533333333333</x:v>
      </x:c>
      <x:c r="AU34" s="17" t="n">
        <x:f>STDEV.S(E34:G34)</x:f>
        <x:v>1.246840139883351</x:v>
      </x:c>
      <x:c r="AV34" s="17" t="n">
        <x:f>AVERAGE(H34:J34)</x:f>
        <x:v>4.335455333333333</x:v>
      </x:c>
      <x:c r="AW34" s="17" t="n">
        <x:f>STDEV.S(H34:J34)</x:f>
        <x:v>1.4672607230006307</x:v>
      </x:c>
      <x:c r="AX34" s="17" t="n">
        <x:f>AV34-AT34</x:f>
        <x:v>-2.1360780000000004</x:v>
      </x:c>
      <x:c r="AY34" s="17" t="n">
        <x:f>LOG((AV34+1)/(AT34+1),2)</x:f>
        <x:v>-0.4857929507477685</x:v>
      </x:c>
      <x:c r="AZ34" s="17" t="n">
        <x:f>AVERAGE(E34:J34)</x:f>
        <x:v>5.403494333333334</x:v>
      </x:c>
      <x:c r="BA34" s="17" t="n">
        <x:f>MAX(E34:J34)</x:f>
        <x:v>7.577001</x:v>
      </x:c>
      <x:c r="BB34" s="20" t="n">
        <x:f>IF(Q34="provisional_HQ_domain",2,0)+IF(Y34,1,0)+IF(AB34,1,0)+IF(AI34&lt;&gt;"",1,0)+IF(AP34+AQ34&gt;0,1,0)</x:f>
        <x:v>5</x:v>
      </x:c>
      <x:c r="BC34" t="str">
        <x:f>IF(OR(ISNUMBER(SEARCH("exclude",U34)),ISNUMBER(SEARCH("hold",U34)),ISNUMBER(SEARCH("hold",W34))),"Review",IF(BB34&gt;=5,"Strong multi-evidence",IF(BB34&gt;=3,"Supported","Weak/inspect")))</x:f>
        <x:v>Strong multi-evidence</x:v>
      </x:c>
    </x:row>
    <x:row r="35">
      <x:c r="A35" t="str">
        <x:v>GST</x:v>
      </x:c>
      <x:c r="B35" t="str">
        <x:v>TRINITY_DN196_c0_g1</x:v>
      </x:c>
      <x:c r="C35" t="str">
        <x:v>yes</x:v>
      </x:c>
      <x:c r="D35" t="n">
        <x:v>1</x:v>
      </x:c>
      <x:c r="E35" s="17" t="n">
        <x:v>20.937583</x:v>
      </x:c>
      <x:c r="F35" s="17" t="n">
        <x:v>75.340624</x:v>
      </x:c>
      <x:c r="G35" s="17" t="n">
        <x:v>13.497852</x:v>
      </x:c>
      <x:c r="H35" s="17" t="n">
        <x:v>29.757789</x:v>
      </x:c>
      <x:c r="I35" s="17" t="n">
        <x:v>30.634876</x:v>
      </x:c>
      <x:c r="J35" s="17" t="n">
        <x:v>35.825061</x:v>
      </x:c>
      <x:c r="K35" s="17" t="n">
        <x:v>34.7870518</x:v>
      </x:c>
      <x:c r="L35" s="17" t="n">
        <x:v>26.193557199999997</x:v>
      </x:c>
      <x:c r="M35" s="17" t="n">
        <x:v>-8.593494600000003</x:v>
      </x:c>
      <x:c r="N35" s="18" t="n">
        <x:v>0.999999010765626</x:v>
      </x:c>
      <x:c r="O35" t="str">
        <x:v>TRINITY_DN196_c0_g1_i1.p1</x:v>
      </x:c>
      <x:c r="P35" t="n">
        <x:v>119</x:v>
      </x:c>
      <x:c r="Q35" t="str">
        <x:v>provisional_HQ_domain</x:v>
      </x:c>
      <x:c r="R35" t="str">
        <x:v>family_defining_domain_detected</x:v>
      </x:c>
      <x:c r="S35" t="str">
        <x:v>IPR004046;PF14497</x:v>
      </x:c>
      <x:c r="T35" t="str">
        <x:v>Glutathione S-transferase, C-terminal;Glutathione S-transferase, C-terminal domain</x:v>
      </x:c>
      <x:c r="U35"/>
      <x:c r="V35"/>
      <x:c r="W35"/>
      <x:c r="X35"/>
      <x:c r="Y35" s="15" t="b">
        <x:v>1</x:v>
      </x:c>
      <x:c r="Z35" s="15" t="b">
        <x:v>0</x:v>
      </x:c>
      <x:c r="AA35" s="15" t="b">
        <x:v>1</x:v>
      </x:c>
      <x:c r="AB35" s="15" t="b">
        <x:v>1</x:v>
      </x:c>
      <x:c r="AC35" t="str">
        <x:v>Spodoptera|XP_035444198.2</x:v>
      </x:c>
      <x:c r="AD35" s="19" t="n">
        <x:v>2.26e-53</x:v>
      </x:c>
      <x:c r="AE35" t="n">
        <x:v>158</x:v>
      </x:c>
      <x:c r="AF35" t="n">
        <x:v>65.517</x:v>
      </x:c>
      <x:c r="AG35" t="n">
        <x:v>98.3051</x:v>
      </x:c>
      <x:c r="AH35" t="n">
        <x:v>56.8627</x:v>
      </x:c>
      <x:c r="AI35" t="str">
        <x:v>sp|P46429|GST2_MANSE</x:v>
      </x:c>
      <x:c r="AJ35" t="str">
        <x:v>sp|P46429|GST2_MANSE Glutathione S-transferase 2 OS=Manduca sexta OX=7130 GN=GST2 PE=2 SV=1</x:v>
      </x:c>
      <x:c r="AK35" s="19" t="n">
        <x:v>1.17e-35</x:v>
      </x:c>
      <x:c r="AL35" t="n">
        <x:v>124</x:v>
      </x:c>
      <x:c r="AM35" t="n">
        <x:v>52.6</x:v>
      </x:c>
      <x:c r="AN35" t="n">
        <x:v>96.61016949152543</x:v>
      </x:c>
      <x:c r="AO35" t="n">
        <x:v>56.1576354679803</x:v>
      </x:c>
      <x:c r="AP35" t="n">
        <x:v>0</x:v>
      </x:c>
      <x:c r="AQ35" t="n">
        <x:v>0</x:v>
      </x:c>
      <x:c r="AR35" t="str">
        <x:v>GST_C002</x:v>
      </x:c>
      <x:c r="AS35" t="n">
        <x:v>4</x:v>
      </x:c>
      <x:c r="AT35" s="17" t="n">
        <x:f>AVERAGE(E35:G35)</x:f>
        <x:v>36.592019666666666</x:v>
      </x:c>
      <x:c r="AU35" s="17" t="n">
        <x:f>STDEV.S(E35:G35)</x:f>
        <x:v>33.76282204843079</x:v>
      </x:c>
      <x:c r="AV35" s="17" t="n">
        <x:f>AVERAGE(H35:J35)</x:f>
        <x:v>32.07257533333333</x:v>
      </x:c>
      <x:c r="AW35" s="17" t="n">
        <x:f>STDEV.S(H35:J35)</x:f>
        <x:v>3.2792044630209216</x:v>
      </x:c>
      <x:c r="AX35" s="17" t="n">
        <x:f>AV35-AT35</x:f>
        <x:v>-4.5194443333333325</x:v>
      </x:c>
      <x:c r="AY35" s="17" t="n">
        <x:f>LOG((AV35+1)/(AT35+1),2)</x:f>
        <x:v>-0.18479103627325527</x:v>
      </x:c>
      <x:c r="AZ35" s="17" t="n">
        <x:f>AVERAGE(E35:J35)</x:f>
        <x:v>34.3322975</x:v>
      </x:c>
      <x:c r="BA35" s="17" t="n">
        <x:f>MAX(E35:J35)</x:f>
        <x:v>75.340624</x:v>
      </x:c>
      <x:c r="BB35" s="20" t="n">
        <x:f>IF(Q35="provisional_HQ_domain",2,0)+IF(Y35,1,0)+IF(AB35,1,0)+IF(AI35&lt;&gt;"",1,0)+IF(AP35+AQ35&gt;0,1,0)</x:f>
        <x:v>5</x:v>
      </x:c>
      <x:c r="BC35" t="str">
        <x:f>IF(OR(ISNUMBER(SEARCH("exclude",U35)),ISNUMBER(SEARCH("hold",U35)),ISNUMBER(SEARCH("hold",W35))),"Review",IF(BB35&gt;=5,"Strong multi-evidence",IF(BB35&gt;=3,"Supported","Weak/inspect")))</x:f>
        <x:v>Strong multi-evidence</x:v>
      </x:c>
    </x:row>
    <x:row r="36">
      <x:c r="A36" t="str">
        <x:v>GST</x:v>
      </x:c>
      <x:c r="B36" t="str">
        <x:v>TRINITY_DN196_c1_g2</x:v>
      </x:c>
      <x:c r="C36" t="str">
        <x:v>yes</x:v>
      </x:c>
      <x:c r="D36" t="n">
        <x:v>2</x:v>
      </x:c>
      <x:c r="E36" s="17" t="n">
        <x:v>33.620211999999995</x:v>
      </x:c>
      <x:c r="F36" s="17" t="n">
        <x:v>54.670605</x:v>
      </x:c>
      <x:c r="G36" s="17" t="n">
        <x:v>31.227857999999998</x:v>
      </x:c>
      <x:c r="H36" s="17" t="n">
        <x:v>36.779561</x:v>
      </x:c>
      <x:c r="I36" s="17" t="n">
        <x:v>30.862761</x:v>
      </x:c>
      <x:c r="J36" s="17" t="n">
        <x:v>27.502089</x:v>
      </x:c>
      <x:c r="K36" s="17" t="n">
        <x:v>33.9792072</x:v>
      </x:c>
      <x:c r="L36" s="17" t="n">
        <x:v>26.3728382</x:v>
      </x:c>
      <x:c r="M36" s="17" t="n">
        <x:v>-7.606368999999997</x:v>
      </x:c>
      <x:c r="N36" s="18" t="n">
        <x:v>0.635887243353259</x:v>
      </x:c>
      <x:c r="O36" t="str">
        <x:v>TRINITY_DN196_c1_g2_i1.p1</x:v>
      </x:c>
      <x:c r="P36" t="n">
        <x:v>217</x:v>
      </x:c>
      <x:c r="Q36" t="str">
        <x:v>provisional_HQ_domain</x:v>
      </x:c>
      <x:c r="R36" t="str">
        <x:v>family_defining_domain_detected</x:v>
      </x:c>
      <x:c r="S36" t="str">
        <x:v>IPR004045;IPR004046;PF02798;PF14497</x:v>
      </x:c>
      <x:c r="T36" t="str">
        <x:v>Glutathione S-transferase, C-terminal;Glutathione S-transferase, C-terminal domain;Glutathione S-transferase, N-terminal;Glutathione S-transferase, N-terminal domain</x:v>
      </x:c>
      <x:c r="U36"/>
      <x:c r="V36"/>
      <x:c r="W36"/>
      <x:c r="X36"/>
      <x:c r="Y36" s="15" t="b">
        <x:v>1</x:v>
      </x:c>
      <x:c r="Z36" s="15" t="b">
        <x:v>0</x:v>
      </x:c>
      <x:c r="AA36" s="15" t="b">
        <x:v>1</x:v>
      </x:c>
      <x:c r="AB36" s="15" t="b">
        <x:v>1</x:v>
      </x:c>
      <x:c r="AC36" t="str">
        <x:v>Spodoptera|XP_035444198.2</x:v>
      </x:c>
      <x:c r="AD36" s="19" t="n">
        <x:v>8.04e-90</x:v>
      </x:c>
      <x:c r="AE36" t="n">
        <x:v>255</x:v>
      </x:c>
      <x:c r="AF36" t="n">
        <x:v>69.591</x:v>
      </x:c>
      <x:c r="AG36" t="n">
        <x:v>78.8018</x:v>
      </x:c>
      <x:c r="AH36" t="n">
        <x:v>83.8235</x:v>
      </x:c>
      <x:c r="AI36" t="str">
        <x:v>sp|P46429|GST2_MANSE</x:v>
      </x:c>
      <x:c r="AJ36" t="str">
        <x:v>sp|P46429|GST2_MANSE Glutathione S-transferase 2 OS=Manduca sexta OX=7130 GN=GST2 PE=2 SV=1</x:v>
      </x:c>
      <x:c r="AK36" s="19" t="n">
        <x:v>7.16e-64</x:v>
      </x:c>
      <x:c r="AL36" t="n">
        <x:v>199</x:v>
      </x:c>
      <x:c r="AM36" t="n">
        <x:v>55</x:v>
      </x:c>
      <x:c r="AN36" t="n">
        <x:v>78.80184331797236</x:v>
      </x:c>
      <x:c r="AO36" t="n">
        <x:v>84.23645320197045</x:v>
      </x:c>
      <x:c r="AP36" t="n">
        <x:v>0</x:v>
      </x:c>
      <x:c r="AQ36" t="n">
        <x:v>0</x:v>
      </x:c>
      <x:c r="AR36" t="str">
        <x:v>GST_C002</x:v>
      </x:c>
      <x:c r="AS36" t="n">
        <x:v>4</x:v>
      </x:c>
      <x:c r="AT36" s="17" t="n">
        <x:f>AVERAGE(E36:G36)</x:f>
        <x:v>39.839558333333336</x:v>
      </x:c>
      <x:c r="AU36" s="17" t="n">
        <x:f>STDEV.S(E36:G36)</x:f>
        <x:v>12.899643341463452</x:v>
      </x:c>
      <x:c r="AV36" s="17" t="n">
        <x:f>AVERAGE(H36:J36)</x:f>
        <x:v>31.71480366666667</x:v>
      </x:c>
      <x:c r="AW36" s="17" t="n">
        <x:f>STDEV.S(H36:J36)</x:f>
        <x:v>4.697058037438044</x:v>
      </x:c>
      <x:c r="AX36" s="17" t="n">
        <x:f>AV36-AT36</x:f>
        <x:v>-8.124754666666668</x:v>
      </x:c>
      <x:c r="AY36" s="17" t="n">
        <x:f>LOG((AV36+1)/(AT36+1),2)</x:f>
        <x:v>-0.3200236514253437</x:v>
      </x:c>
      <x:c r="AZ36" s="17" t="n">
        <x:f>AVERAGE(E36:J36)</x:f>
        <x:v>35.777181000000006</x:v>
      </x:c>
      <x:c r="BA36" s="17" t="n">
        <x:f>MAX(E36:J36)</x:f>
        <x:v>54.670605</x:v>
      </x:c>
      <x:c r="BB36" s="20" t="n">
        <x:f>IF(Q36="provisional_HQ_domain",2,0)+IF(Y36,1,0)+IF(AB36,1,0)+IF(AI36&lt;&gt;"",1,0)+IF(AP36+AQ36&gt;0,1,0)</x:f>
        <x:v>5</x:v>
      </x:c>
      <x:c r="BC36" t="str">
        <x:f>IF(OR(ISNUMBER(SEARCH("exclude",U36)),ISNUMBER(SEARCH("hold",U36)),ISNUMBER(SEARCH("hold",W36))),"Review",IF(BB36&gt;=5,"Strong multi-evidence",IF(BB36&gt;=3,"Supported","Weak/inspect")))</x:f>
        <x:v>Strong multi-evidence</x:v>
      </x:c>
    </x:row>
    <x:row r="37">
      <x:c r="A37" t="str">
        <x:v>GST</x:v>
      </x:c>
      <x:c r="B37" t="str">
        <x:v>TRINITY_DN196_c6_g1</x:v>
      </x:c>
      <x:c r="C37" t="str">
        <x:v>yes</x:v>
      </x:c>
      <x:c r="D37" t="n">
        <x:v>4</x:v>
      </x:c>
      <x:c r="E37" s="17" t="n">
        <x:v>214.314858</x:v>
      </x:c>
      <x:c r="F37" s="17" t="n">
        <x:v>314.133576</x:v>
      </x:c>
      <x:c r="G37" s="17" t="n">
        <x:v>39.488433</x:v>
      </x:c>
      <x:c r="H37" s="17" t="n">
        <x:v>153.974637</x:v>
      </x:c>
      <x:c r="I37" s="17" t="n">
        <x:v>225.145662</x:v>
      </x:c>
      <x:c r="J37" s="17" t="n">
        <x:v>221.947356</x:v>
      </x:c>
      <x:c r="K37" s="17" t="n">
        <x:v>174.51667809999998</x:v>
      </x:c>
      <x:c r="L37" s="17" t="n">
        <x:v>167.48648699999998</x:v>
      </x:c>
      <x:c r="M37" s="17" t="n">
        <x:v>-7.030191099999996</x:v>
      </x:c>
      <x:c r="N37" s="18" t="n">
        <x:v>0.999999010765626</x:v>
      </x:c>
      <x:c r="O37" t="str">
        <x:v>TRINITY_DN196_c6_g1_i10.p1</x:v>
      </x:c>
      <x:c r="P37" t="n">
        <x:v>201</x:v>
      </x:c>
      <x:c r="Q37" t="str">
        <x:v>provisional_HQ_domain</x:v>
      </x:c>
      <x:c r="R37" t="str">
        <x:v>family_defining_domain_detected</x:v>
      </x:c>
      <x:c r="S37" t="str">
        <x:v>IPR004045;IPR004046;PF02798;PF14497</x:v>
      </x:c>
      <x:c r="T37" t="str">
        <x:v>Glutathione S-transferase, C-terminal;Glutathione S-transferase, C-terminal domain;Glutathione S-transferase, N-terminal;Glutathione S-transferase, N-terminal domain</x:v>
      </x:c>
      <x:c r="U37"/>
      <x:c r="V37"/>
      <x:c r="W37"/>
      <x:c r="X37"/>
      <x:c r="Y37" s="15" t="b">
        <x:v>1</x:v>
      </x:c>
      <x:c r="Z37" s="15" t="b">
        <x:v>0</x:v>
      </x:c>
      <x:c r="AA37" s="15" t="b">
        <x:v>1</x:v>
      </x:c>
      <x:c r="AB37" s="15" t="b">
        <x:v>1</x:v>
      </x:c>
      <x:c r="AC37" t="str">
        <x:v>Spodoptera|XP_035444198.2</x:v>
      </x:c>
      <x:c r="AD37" s="19" t="n">
        <x:v>1.7e-92</x:v>
      </x:c>
      <x:c r="AE37" t="n">
        <x:v>261</x:v>
      </x:c>
      <x:c r="AF37" t="n">
        <x:v>63.317</x:v>
      </x:c>
      <x:c r="AG37" t="n">
        <x:v>99.5</x:v>
      </x:c>
      <x:c r="AH37" t="n">
        <x:v>97.549</x:v>
      </x:c>
      <x:c r="AI37" t="str">
        <x:v>sp|P46429|GST2_MANSE</x:v>
      </x:c>
      <x:c r="AJ37" t="str">
        <x:v>sp|P46429|GST2_MANSE Glutathione S-transferase 2 OS=Manduca sexta OX=7130 GN=GST2 PE=2 SV=1</x:v>
      </x:c>
      <x:c r="AK37" s="19" t="n">
        <x:v>3.34e-65</x:v>
      </x:c>
      <x:c r="AL37" t="n">
        <x:v>202</x:v>
      </x:c>
      <x:c r="AM37" t="n">
        <x:v>49.7</x:v>
      </x:c>
      <x:c r="AN37" t="n">
        <x:v>99.5</x:v>
      </x:c>
      <x:c r="AO37" t="n">
        <x:v>98.0295566502463</x:v>
      </x:c>
      <x:c r="AP37" t="n">
        <x:v>0</x:v>
      </x:c>
      <x:c r="AQ37" t="n">
        <x:v>0</x:v>
      </x:c>
      <x:c r="AR37" t="str">
        <x:v>GST_C002</x:v>
      </x:c>
      <x:c r="AS37" t="n">
        <x:v>4</x:v>
      </x:c>
      <x:c r="AT37" s="17" t="n">
        <x:f>AVERAGE(E37:G37)</x:f>
        <x:v>189.312289</x:v>
      </x:c>
      <x:c r="AU37" s="17" t="n">
        <x:f>STDEV.S(E37:G37)</x:f>
        <x:v>139.01918927192185</x:v>
      </x:c>
      <x:c r="AV37" s="17" t="n">
        <x:f>AVERAGE(H37:J37)</x:f>
        <x:v>200.35588500000003</x:v>
      </x:c>
      <x:c r="AW37" s="17" t="n">
        <x:f>STDEV.S(H37:J37)</x:f>
        <x:v>40.199159379837</x:v>
      </x:c>
      <x:c r="AX37" s="17" t="n">
        <x:f>AV37-AT37</x:f>
        <x:v>11.043596000000036</x:v>
      </x:c>
      <x:c r="AY37" s="17" t="n">
        <x:f>LOG((AV37+1)/(AT37+1),2)</x:f>
        <x:v>0.08137891484590883</x:v>
      </x:c>
      <x:c r="AZ37" s="17" t="n">
        <x:f>AVERAGE(E37:J37)</x:f>
        <x:v>194.83408700000004</x:v>
      </x:c>
      <x:c r="BA37" s="17" t="n">
        <x:f>MAX(E37:J37)</x:f>
        <x:v>314.133576</x:v>
      </x:c>
      <x:c r="BB37" s="20" t="n">
        <x:f>IF(Q37="provisional_HQ_domain",2,0)+IF(Y37,1,0)+IF(AB37,1,0)+IF(AI37&lt;&gt;"",1,0)+IF(AP37+AQ37&gt;0,1,0)</x:f>
        <x:v>5</x:v>
      </x:c>
      <x:c r="BC37" t="str">
        <x:f>IF(OR(ISNUMBER(SEARCH("exclude",U37)),ISNUMBER(SEARCH("hold",U37)),ISNUMBER(SEARCH("hold",W37))),"Review",IF(BB37&gt;=5,"Strong multi-evidence",IF(BB37&gt;=3,"Supported","Weak/inspect")))</x:f>
        <x:v>Strong multi-evidence</x:v>
      </x:c>
    </x:row>
    <x:row r="38">
      <x:c r="A38" t="str">
        <x:v>GST</x:v>
      </x:c>
      <x:c r="B38" t="str">
        <x:v>TRINITY_DN1970_c0_g1</x:v>
      </x:c>
      <x:c r="C38" t="str">
        <x:v>no</x:v>
      </x:c>
      <x:c r="D38" t="n">
        <x:v>11</x:v>
      </x:c>
      <x:c r="E38" s="17" t="n">
        <x:v>5.094472</x:v>
      </x:c>
      <x:c r="F38" s="17" t="n">
        <x:v>11.616484999999999</x:v>
      </x:c>
      <x:c r="G38" s="17" t="n">
        <x:v>5.222049</x:v>
      </x:c>
      <x:c r="H38" s="17" t="n">
        <x:v>23.655359999999998</x:v>
      </x:c>
      <x:c r="I38" s="17" t="n">
        <x:v>8.541786</x:v>
      </x:c>
      <x:c r="J38" s="17" t="n">
        <x:v>9.035599</x:v>
      </x:c>
      <x:c r="K38" s="17" t="n">
        <x:v>6.464061320000001</x:v>
      </x:c>
      <x:c r="L38" s="17" t="n">
        <x:v>13.133271740000001</x:v>
      </x:c>
      <x:c r="M38" s="17" t="n">
        <x:v>6.669210420000001</x:v>
      </x:c>
      <x:c r="N38" s="18" t="n">
        <x:v>0.0000369601050356004</x:v>
      </x:c>
      <x:c r="O38" t="str">
        <x:v>TRINITY_DN1970_c0_g1_i1.p1</x:v>
      </x:c>
      <x:c r="P38" t="n">
        <x:v>241</x:v>
      </x:c>
      <x:c r="Q38" t="str">
        <x:v>provisional_HQ_domain</x:v>
      </x:c>
      <x:c r="R38" t="str">
        <x:v>family_defining_domain_detected</x:v>
      </x:c>
      <x:c r="S38" t="str">
        <x:v>IPR004045;PF13410;PF13417</x:v>
      </x:c>
      <x:c r="T38" t="str">
        <x:v>Glutathione S-transferase, C-terminal domain;Glutathione S-transferase, N-terminal;Glutathione S-transferase, N-terminal domain</x:v>
      </x:c>
      <x:c r="U38"/>
      <x:c r="V38"/>
      <x:c r="W38"/>
      <x:c r="X38"/>
      <x:c r="Y38" s="15" t="b">
        <x:v>1</x:v>
      </x:c>
      <x:c r="Z38" s="15" t="b">
        <x:v>0</x:v>
      </x:c>
      <x:c r="AA38" s="15" t="b">
        <x:v>1</x:v>
      </x:c>
      <x:c r="AB38" s="15" t="b">
        <x:v>1</x:v>
      </x:c>
      <x:c r="AC38" t="str">
        <x:v>Spodoptera|XP_035453953.1</x:v>
      </x:c>
      <x:c r="AD38" s="19" t="n">
        <x:v>1.26e-175</x:v>
      </x:c>
      <x:c r="AE38" t="n">
        <x:v>474</x:v>
      </x:c>
      <x:c r="AF38" t="n">
        <x:v>94.583</x:v>
      </x:c>
      <x:c r="AG38" t="n">
        <x:v>100</x:v>
      </x:c>
      <x:c r="AH38" t="n">
        <x:v>100</x:v>
      </x:c>
      <x:c r="AI38" t="str">
        <x:v>sp|Q9VSL3|SEPIA_DROME</x:v>
      </x:c>
      <x:c r="AJ38" t="str">
        <x:v>sp|Q9VSL3|SEPIA_DROME Pyrimidodiazepine synthase OS=Drosophila melanogaster OX=7227 GN=se PE=1 SV=1</x:v>
      </x:c>
      <x:c r="AK38" s="19" t="n">
        <x:v>1.16e-48</x:v>
      </x:c>
      <x:c r="AL38" t="n">
        <x:v>163</x:v>
      </x:c>
      <x:c r="AM38" t="n">
        <x:v>41</x:v>
      </x:c>
      <x:c r="AN38" t="n">
        <x:v>85.41666666666667</x:v>
      </x:c>
      <x:c r="AO38" t="n">
        <x:v>84.36213991769547</x:v>
      </x:c>
      <x:c r="AP38" t="n">
        <x:v>0</x:v>
      </x:c>
      <x:c r="AQ38" t="n">
        <x:v>0</x:v>
      </x:c>
      <x:c r="AR38" t="str">
        <x:v>GST_C007</x:v>
      </x:c>
      <x:c r="AS38" t="n">
        <x:v>1</x:v>
      </x:c>
      <x:c r="AT38" s="17" t="n">
        <x:f>AVERAGE(E38:G38)</x:f>
        <x:v>7.311001999999999</x:v>
      </x:c>
      <x:c r="AU38" s="17" t="n">
        <x:f>STDEV.S(E38:G38)</x:f>
        <x:v>3.729203248711311</x:v>
      </x:c>
      <x:c r="AV38" s="17" t="n">
        <x:f>AVERAGE(H38:J38)</x:f>
        <x:v>13.744248333333331</x:v>
      </x:c>
      <x:c r="AW38" s="17" t="n">
        <x:f>STDEV.S(H38:J38)</x:f>
        <x:v>8.58682500529703</x:v>
      </x:c>
      <x:c r="AX38" s="17" t="n">
        <x:f>AV38-AT38</x:f>
        <x:v>6.433246333333332</x:v>
      </x:c>
      <x:c r="AY38" s="17" t="n">
        <x:f>LOG((AV38+1)/(AT38+1),2)</x:f>
        <x:v>0.827057946851014</x:v>
      </x:c>
      <x:c r="AZ38" s="17" t="n">
        <x:f>AVERAGE(E38:J38)</x:f>
        <x:v>10.527625166666665</x:v>
      </x:c>
      <x:c r="BA38" s="17" t="n">
        <x:f>MAX(E38:J38)</x:f>
        <x:v>23.655359999999998</x:v>
      </x:c>
      <x:c r="BB38" s="20" t="n">
        <x:f>IF(Q38="provisional_HQ_domain",2,0)+IF(Y38,1,0)+IF(AB38,1,0)+IF(AI38&lt;&gt;"",1,0)+IF(AP38+AQ38&gt;0,1,0)</x:f>
        <x:v>5</x:v>
      </x:c>
      <x:c r="BC38" t="str">
        <x:f>IF(OR(ISNUMBER(SEARCH("exclude",U38)),ISNUMBER(SEARCH("hold",U38)),ISNUMBER(SEARCH("hold",W38))),"Review",IF(BB38&gt;=5,"Strong multi-evidence",IF(BB38&gt;=3,"Supported","Weak/inspect")))</x:f>
        <x:v>Strong multi-evidence</x:v>
      </x:c>
    </x:row>
    <x:row r="39">
      <x:c r="A39" t="str">
        <x:v>GST</x:v>
      </x:c>
      <x:c r="B39" t="str">
        <x:v>TRINITY_DN2000_c0_g1</x:v>
      </x:c>
      <x:c r="C39" t="str">
        <x:v>no</x:v>
      </x:c>
      <x:c r="D39" t="n">
        <x:v>7</x:v>
      </x:c>
      <x:c r="E39" s="17" t="n">
        <x:v>2.690121</x:v>
      </x:c>
      <x:c r="F39" s="17" t="n">
        <x:v>3.440723</x:v>
      </x:c>
      <x:c r="G39" s="17" t="n">
        <x:v>2.542366</x:v>
      </x:c>
      <x:c r="H39" s="17" t="n">
        <x:v>3.552317</x:v>
      </x:c>
      <x:c r="I39" s="17" t="n">
        <x:v>3.710394</x:v>
      </x:c>
      <x:c r="J39" s="17" t="n">
        <x:v>4.959569</x:v>
      </x:c>
      <x:c r="K39" s="17" t="n">
        <x:v>2.848356</x:v>
      </x:c>
      <x:c r="L39" s="17" t="n">
        <x:v>4.0044334</x:v>
      </x:c>
      <x:c r="M39" s="17" t="n">
        <x:v>1.1560774</x:v>
      </x:c>
      <x:c r="N39" s="18" t="n">
        <x:v>0.00000282738998239772</x:v>
      </x:c>
      <x:c r="O39" t="str">
        <x:v>TRINITY_DN2000_c0_g1_i17.p1</x:v>
      </x:c>
      <x:c r="P39" t="n">
        <x:v>389</x:v>
      </x:c>
      <x:c r="Q39" t="str">
        <x:v>review</x:v>
      </x:c>
      <x:c r="R39" t="str">
        <x:v>no_family_defining_domain_in_current_core_table</x:v>
      </x:c>
      <x:c r="S39" t="str">
        <x:v>IPR002109;PF00462</x:v>
      </x:c>
      <x:c r="T39" t="str">
        <x:v>Glutaredoxin</x:v>
      </x:c>
      <x:c r="U39" t="str">
        <x:v>exclude_from_canonical_detox_GST</x:v>
      </x:c>
      <x:c r="V39" t="str">
        <x:v>alternative protein family; no canonical cytosolic GST domain</x:v>
      </x:c>
      <x:c r="W39"/>
      <x:c r="X39"/>
      <x:c r="Y39" s="15" t="b">
        <x:v>1</x:v>
      </x:c>
      <x:c r="Z39" s="15" t="b">
        <x:v>0</x:v>
      </x:c>
      <x:c r="AA39" s="15" t="b">
        <x:v>1</x:v>
      </x:c>
      <x:c r="AB39" s="15" t="b">
        <x:v>1</x:v>
      </x:c>
      <x:c r="AC39" t="str">
        <x:v>Spodoptera|XP_035431091.1</x:v>
      </x:c>
      <x:c r="AD39" s="19" t="n">
        <x:v>0</x:v>
      </x:c>
      <x:c r="AE39" t="n">
        <x:v>710</x:v>
      </x:c>
      <x:c r="AF39" t="n">
        <x:v>87.113</x:v>
      </x:c>
      <x:c r="AG39" t="n">
        <x:v>91.5094</x:v>
      </x:c>
      <x:c r="AH39" t="n">
        <x:v>100</x:v>
      </x:c>
      <x:c r="AI39" t="str">
        <x:v>sp|Q9N0A4|PGES2_MACFA</x:v>
      </x:c>
      <x:c r="AJ39" t="str">
        <x:v>sp|Q9N0A4|PGES2_MACFA Prostaglandin E synthase 2 OS=Macaca fascicularis OX=9541 GN=PTGES2 PE=1 SV=1</x:v>
      </x:c>
      <x:c r="AK39" s="19" t="n">
        <x:v>3.35e-79</x:v>
      </x:c>
      <x:c r="AL39" t="n">
        <x:v>252</x:v>
      </x:c>
      <x:c r="AM39" t="n">
        <x:v>48.2</x:v>
      </x:c>
      <x:c r="AN39" t="n">
        <x:v>66.0377358490566</x:v>
      </x:c>
      <x:c r="AO39" t="n">
        <x:v>74.27055702917772</x:v>
      </x:c>
      <x:c r="AP39" t="n">
        <x:v>0</x:v>
      </x:c>
      <x:c r="AQ39" t="n">
        <x:v>0</x:v>
      </x:c>
      <x:c r="AR39" t="str">
        <x:v>GST_C008</x:v>
      </x:c>
      <x:c r="AS39" t="n">
        <x:v>1</x:v>
      </x:c>
      <x:c r="AT39" s="17" t="n">
        <x:f>AVERAGE(E39:G39)</x:f>
        <x:v>2.8910699999999996</x:v>
      </x:c>
      <x:c r="AU39" s="17" t="n">
        <x:f>STDEV.S(E39:G39)</x:f>
        <x:v>0.4817122588361232</x:v>
      </x:c>
      <x:c r="AV39" s="17" t="n">
        <x:f>AVERAGE(H39:J39)</x:f>
        <x:v>4.074093333333333</x:v>
      </x:c>
      <x:c r="AW39" s="17" t="n">
        <x:f>STDEV.S(H39:J39)</x:f>
        <x:v>0.7709069020811355</x:v>
      </x:c>
      <x:c r="AX39" s="17" t="n">
        <x:f>AV39-AT39</x:f>
        <x:v>1.1830233333333333</x:v>
      </x:c>
      <x:c r="AY39" s="17" t="n">
        <x:f>LOG((AV39+1)/(AT39+1),2)</x:f>
        <x:v>0.3829831222109475</x:v>
      </x:c>
      <x:c r="AZ39" s="17" t="n">
        <x:f>AVERAGE(E39:J39)</x:f>
        <x:v>3.482581666666667</x:v>
      </x:c>
      <x:c r="BA39" s="17" t="n">
        <x:f>MAX(E39:J39)</x:f>
        <x:v>4.959569</x:v>
      </x:c>
      <x:c r="BB39" s="20" t="n">
        <x:f>IF(Q39="provisional_HQ_domain",2,0)+IF(Y39,1,0)+IF(AB39,1,0)+IF(AI39&lt;&gt;"",1,0)+IF(AP39+AQ39&gt;0,1,0)</x:f>
        <x:v>3</x:v>
      </x:c>
      <x:c r="BC39" t="str">
        <x:f>IF(OR(ISNUMBER(SEARCH("exclude",U39)),ISNUMBER(SEARCH("hold",U39)),ISNUMBER(SEARCH("hold",W39))),"Review",IF(BB39&gt;=5,"Strong multi-evidence",IF(BB39&gt;=3,"Supported","Weak/inspect")))</x:f>
        <x:v>Review</x:v>
      </x:c>
    </x:row>
    <x:row r="40">
      <x:c r="A40" t="str">
        <x:v>GST</x:v>
      </x:c>
      <x:c r="B40" t="str">
        <x:v>TRINITY_DN2379_c0_g3</x:v>
      </x:c>
      <x:c r="C40" t="str">
        <x:v>no</x:v>
      </x:c>
      <x:c r="D40" t="n">
        <x:v>4</x:v>
      </x:c>
      <x:c r="E40" s="17" t="n">
        <x:v>7.154753</x:v>
      </x:c>
      <x:c r="F40" s="17" t="n">
        <x:v>7.283024999999999</x:v>
      </x:c>
      <x:c r="G40" s="17" t="n">
        <x:v>5.475772</x:v>
      </x:c>
      <x:c r="H40" s="17" t="n">
        <x:v>10.123603000000001</x:v>
      </x:c>
      <x:c r="I40" s="17" t="n">
        <x:v>10.791783</x:v>
      </x:c>
      <x:c r="J40" s="17" t="n">
        <x:v>8.334092</x:v>
      </x:c>
      <x:c r="K40" s="17" t="n">
        <x:v>5.507987340000001</x:v>
      </x:c>
      <x:c r="L40" s="17" t="n">
        <x:v>8.03287194</x:v>
      </x:c>
      <x:c r="M40" s="17" t="n">
        <x:v>2.524884599999999</x:v>
      </x:c>
      <x:c r="N40" s="18" t="n">
        <x:v>0.978564835772076</x:v>
      </x:c>
      <x:c r="O40" t="str">
        <x:v>TRINITY_DN2379_c0_g3_i3.p1</x:v>
      </x:c>
      <x:c r="P40" t="n">
        <x:v>174</x:v>
      </x:c>
      <x:c r="Q40" t="str">
        <x:v>provisional_HQ_domain</x:v>
      </x:c>
      <x:c r="R40" t="str">
        <x:v>family_defining_domain_detected</x:v>
      </x:c>
      <x:c r="S40" t="str">
        <x:v>IPR004046;PF00043</x:v>
      </x:c>
      <x:c r="T40" t="str">
        <x:v>Glutathione S-transferase, C-terminal;Glutathione S-transferase, C-terminal domain</x:v>
      </x:c>
      <x:c r="U40"/>
      <x:c r="V40"/>
      <x:c r="W40"/>
      <x:c r="X40"/>
      <x:c r="Y40" s="15" t="b">
        <x:v>1</x:v>
      </x:c>
      <x:c r="Z40" s="15" t="b">
        <x:v>0</x:v>
      </x:c>
      <x:c r="AA40" s="15" t="b">
        <x:v>1</x:v>
      </x:c>
      <x:c r="AB40" s="15" t="b">
        <x:v>1</x:v>
      </x:c>
      <x:c r="AC40" t="str">
        <x:v>Spodoptera|XP_035435228.2</x:v>
      </x:c>
      <x:c r="AD40" s="19" t="n">
        <x:v>2.7e-106</x:v>
      </x:c>
      <x:c r="AE40" t="n">
        <x:v>293</x:v>
      </x:c>
      <x:c r="AF40" t="n">
        <x:v>79.769</x:v>
      </x:c>
      <x:c r="AG40" t="n">
        <x:v>100</x:v>
      </x:c>
      <x:c r="AH40" t="n">
        <x:v>100.581</x:v>
      </x:c>
      <x:c r="AI40" t="str">
        <x:v>sp|O43324|MCA3_HUMAN</x:v>
      </x:c>
      <x:c r="AJ40" t="str">
        <x:v>sp|O43324|MCA3_HUMAN Eukaryotic translation elongation factor 1 epsilon-1 OS=Homo sapiens OX=9606 GN=EEF1E1 PE=1 SV=1</x:v>
      </x:c>
      <x:c r="AK40" s="19" t="n">
        <x:v>4.25e-11</x:v>
      </x:c>
      <x:c r="AL40" t="n">
        <x:v>61.6</x:v>
      </x:c>
      <x:c r="AM40" t="n">
        <x:v>33.1</x:v>
      </x:c>
      <x:c r="AN40" t="n">
        <x:v>69.94219653179191</x:v>
      </x:c>
      <x:c r="AO40" t="n">
        <x:v>69.54022988505747</x:v>
      </x:c>
      <x:c r="AP40" t="n">
        <x:v>0</x:v>
      </x:c>
      <x:c r="AQ40" t="n">
        <x:v>0</x:v>
      </x:c>
      <x:c r="AR40" t="str">
        <x:v>GST_C009</x:v>
      </x:c>
      <x:c r="AS40" t="n">
        <x:v>1</x:v>
      </x:c>
      <x:c r="AT40" s="17" t="n">
        <x:f>AVERAGE(E40:G40)</x:f>
        <x:v>6.63785</x:v>
      </x:c>
      <x:c r="AU40" s="17" t="n">
        <x:f>STDEV.S(E40:G40)</x:f>
        <x:v>1.0084306545613335</x:v>
      </x:c>
      <x:c r="AV40" s="17" t="n">
        <x:f>AVERAGE(H40:J40)</x:f>
        <x:v>9.749826</x:v>
      </x:c>
      <x:c r="AW40" s="17" t="n">
        <x:f>STDEV.S(H40:J40)</x:f>
        <x:v>1.2707648079668405</x:v>
      </x:c>
      <x:c r="AX40" s="17" t="n">
        <x:f>AV40-AT40</x:f>
        <x:v>3.1119760000000003</x:v>
      </x:c>
      <x:c r="AY40" s="17" t="n">
        <x:f>LOG((AV40+1)/(AT40+1),2)</x:f>
        <x:v>0.4930748158831823</x:v>
      </x:c>
      <x:c r="AZ40" s="17" t="n">
        <x:f>AVERAGE(E40:J40)</x:f>
        <x:v>8.193838000000001</x:v>
      </x:c>
      <x:c r="BA40" s="17" t="n">
        <x:f>MAX(E40:J40)</x:f>
        <x:v>10.791783</x:v>
      </x:c>
      <x:c r="BB40" s="20" t="n">
        <x:f>IF(Q40="provisional_HQ_domain",2,0)+IF(Y40,1,0)+IF(AB40,1,0)+IF(AI40&lt;&gt;"",1,0)+IF(AP40+AQ40&gt;0,1,0)</x:f>
        <x:v>5</x:v>
      </x:c>
      <x:c r="BC40" t="str">
        <x:f>IF(OR(ISNUMBER(SEARCH("exclude",U40)),ISNUMBER(SEARCH("hold",U40)),ISNUMBER(SEARCH("hold",W40))),"Review",IF(BB40&gt;=5,"Strong multi-evidence",IF(BB40&gt;=3,"Supported","Weak/inspect")))</x:f>
        <x:v>Strong multi-evidence</x:v>
      </x:c>
    </x:row>
    <x:row r="41">
      <x:c r="A41" t="str">
        <x:v>GST</x:v>
      </x:c>
      <x:c r="B41" t="str">
        <x:v>TRINITY_DN2529_c0_g1</x:v>
      </x:c>
      <x:c r="C41" t="str">
        <x:v>no</x:v>
      </x:c>
      <x:c r="D41" t="n">
        <x:v>9</x:v>
      </x:c>
      <x:c r="E41" s="17" t="n">
        <x:v>3.54014</x:v>
      </x:c>
      <x:c r="F41" s="17" t="n">
        <x:v>4.39028</x:v>
      </x:c>
      <x:c r="G41" s="17" t="n">
        <x:v>2.882027</x:v>
      </x:c>
      <x:c r="H41" s="17" t="n">
        <x:v>3.546255</x:v>
      </x:c>
      <x:c r="I41" s="17" t="n">
        <x:v>3.675426</x:v>
      </x:c>
      <x:c r="J41" s="17" t="n">
        <x:v>4.953489</x:v>
      </x:c>
      <x:c r="K41" s="17" t="n">
        <x:v>3.15394726</x:v>
      </x:c>
      <x:c r="L41" s="17" t="n">
        <x:v>3.70495926</x:v>
      </x:c>
      <x:c r="M41" s="17" t="n">
        <x:v>0.5510120000000001</x:v>
      </x:c>
      <x:c r="N41" s="18" t="n">
        <x:v>0.0195639742080472</x:v>
      </x:c>
      <x:c r="O41" t="str">
        <x:v>TRINITY_DN2529_c0_g1_i19.p1</x:v>
      </x:c>
      <x:c r="P41" t="n">
        <x:v>260</x:v>
      </x:c>
      <x:c r="Q41" t="str">
        <x:v>review</x:v>
      </x:c>
      <x:c r="R41" t="str">
        <x:v>no_family_defining_domain_in_current_core_table</x:v>
      </x:c>
      <x:c r="S41" t="str">
        <x:v>IPR019564;IPR033468;PF10568;PF17171</x:v>
      </x:c>
      <x:c r="T41" t="str">
        <x:v>Glutathione S-transferase, C-terminal domain;Metaxin, glutathione S-transferase domain;Mitochondrial outer membrane transport complex Sam37/metaxin, N-terminal domain;Outer mitochondrial membrane transport complex protein</x:v>
      </x:c>
      <x:c r="U41" t="str">
        <x:v>exclude_from_canonical_detox_GST</x:v>
      </x:c>
      <x:c r="V41" t="str">
        <x:v>alternative protein family; no canonical cytosolic GST domain</x:v>
      </x:c>
      <x:c r="W41"/>
      <x:c r="X41"/>
      <x:c r="Y41" s="15" t="b">
        <x:v>1</x:v>
      </x:c>
      <x:c r="Z41" s="15" t="b">
        <x:v>0</x:v>
      </x:c>
      <x:c r="AA41" s="15" t="b">
        <x:v>1</x:v>
      </x:c>
      <x:c r="AB41" s="15" t="b">
        <x:v>1</x:v>
      </x:c>
      <x:c r="AC41" t="str">
        <x:v>Bmori|XP_062528878.1</x:v>
      </x:c>
      <x:c r="AD41" s="19" t="n">
        <x:v>0</x:v>
      </x:c>
      <x:c r="AE41" t="n">
        <x:v>499</x:v>
      </x:c>
      <x:c r="AF41" t="n">
        <x:v>88.803</x:v>
      </x:c>
      <x:c r="AG41" t="n">
        <x:v>100</x:v>
      </x:c>
      <x:c r="AH41" t="n">
        <x:v>100</x:v>
      </x:c>
      <x:c r="AI41" t="str">
        <x:v>sp|Q2L969|MTX2_PIG</x:v>
      </x:c>
      <x:c r="AJ41" t="str">
        <x:v>sp|Q2L969|MTX2_PIG Metaxin-2 OS=Sus scrofa OX=9823 GN=MTX2 PE=2 SV=1</x:v>
      </x:c>
      <x:c r="AK41" s="19" t="n">
        <x:v>1.04e-91</x:v>
      </x:c>
      <x:c r="AL41" t="n">
        <x:v>274</x:v>
      </x:c>
      <x:c r="AM41" t="n">
        <x:v>53</x:v>
      </x:c>
      <x:c r="AN41" t="n">
        <x:v>96.91119691119691</x:v>
      </x:c>
      <x:c r="AO41" t="n">
        <x:v>94.00749063670412</x:v>
      </x:c>
      <x:c r="AP41" t="n">
        <x:v>0</x:v>
      </x:c>
      <x:c r="AQ41" t="n">
        <x:v>0</x:v>
      </x:c>
      <x:c r="AR41" t="str">
        <x:v>GST_C010</x:v>
      </x:c>
      <x:c r="AS41" t="n">
        <x:v>1</x:v>
      </x:c>
      <x:c r="AT41" s="17" t="n">
        <x:f>AVERAGE(E41:G41)</x:f>
        <x:v>3.6041489999999996</x:v>
      </x:c>
      <x:c r="AU41" s="17" t="n">
        <x:f>STDEV.S(E41:G41)</x:f>
        <x:v>0.7561611217610966</x:v>
      </x:c>
      <x:c r="AV41" s="17" t="n">
        <x:f>AVERAGE(H41:J41)</x:f>
        <x:v>4.05839</x:v>
      </x:c>
      <x:c r="AW41" s="17" t="n">
        <x:f>STDEV.S(H41:J41)</x:f>
        <x:v>0.7778643529954309</x:v>
      </x:c>
      <x:c r="AX41" s="17" t="n">
        <x:f>AV41-AT41</x:f>
        <x:v>0.45424100000000056</x:v>
      </x:c>
      <x:c r="AY41" s="17" t="n">
        <x:f>LOG((AV41+1)/(AT41+1),2)</x:f>
        <x:v>0.13574374965527636</x:v>
      </x:c>
      <x:c r="AZ41" s="17" t="n">
        <x:f>AVERAGE(E41:J41)</x:f>
        <x:v>3.8312695</x:v>
      </x:c>
      <x:c r="BA41" s="17" t="n">
        <x:f>MAX(E41:J41)</x:f>
        <x:v>4.953489</x:v>
      </x:c>
      <x:c r="BB41" s="20" t="n">
        <x:f>IF(Q41="provisional_HQ_domain",2,0)+IF(Y41,1,0)+IF(AB41,1,0)+IF(AI41&lt;&gt;"",1,0)+IF(AP41+AQ41&gt;0,1,0)</x:f>
        <x:v>3</x:v>
      </x:c>
      <x:c r="BC41" t="str">
        <x:f>IF(OR(ISNUMBER(SEARCH("exclude",U41)),ISNUMBER(SEARCH("hold",U41)),ISNUMBER(SEARCH("hold",W41))),"Review",IF(BB41&gt;=5,"Strong multi-evidence",IF(BB41&gt;=3,"Supported","Weak/inspect")))</x:f>
        <x:v>Review</x:v>
      </x:c>
    </x:row>
    <x:row r="42">
      <x:c r="A42" t="str">
        <x:v>UGT</x:v>
      </x:c>
      <x:c r="B42" t="str">
        <x:v>TRINITY_DN11717_c0_g2</x:v>
      </x:c>
      <x:c r="C42" t="str">
        <x:v>yes</x:v>
      </x:c>
      <x:c r="D42" t="n">
        <x:v>3</x:v>
      </x:c>
      <x:c r="E42" s="17" t="n">
        <x:v>1.033641</x:v>
      </x:c>
      <x:c r="F42" s="17" t="n">
        <x:v>1.061489</x:v>
      </x:c>
      <x:c r="G42" s="17" t="n">
        <x:v>5.289692</x:v>
      </x:c>
      <x:c r="H42" s="17" t="n">
        <x:v>2.296463</x:v>
      </x:c>
      <x:c r="I42" s="17" t="n">
        <x:v>1.016772</x:v>
      </x:c>
      <x:c r="J42" s="17" t="n">
        <x:v>0.901815</x:v>
      </x:c>
      <x:c r="K42" s="17" t="n">
        <x:v>2.36924672</x:v>
      </x:c>
      <x:c r="L42" s="17" t="n">
        <x:v>1.26559186</x:v>
      </x:c>
      <x:c r="M42" s="17" t="n">
        <x:v>-1.10365486</x:v>
      </x:c>
      <x:c r="N42" s="18" t="n">
        <x:v>0.686565426763939</x:v>
      </x:c>
      <x:c r="O42" t="str">
        <x:v>TRINITY_DN11717_c0_g2_i2.p1</x:v>
      </x:c>
      <x:c r="P42" t="n">
        <x:v>541</x:v>
      </x:c>
      <x:c r="Q42" t="str">
        <x:v>provisional_HQ_domain</x:v>
      </x:c>
      <x:c r="R42" t="str">
        <x:v>family_defining_domain_detected</x:v>
      </x:c>
      <x:c r="S42" t="str">
        <x:v>IPR002213;PF00201</x:v>
      </x:c>
      <x:c r="T42" t="str">
        <x:v>UDP-glucoronosyl and UDP-glucosyl transferase;UDP-glucuronosyl/UDP-glucosyltransferase</x:v>
      </x:c>
      <x:c r="U42"/>
      <x:c r="V42"/>
      <x:c r="W42"/>
      <x:c r="X42"/>
      <x:c r="Y42" s="15" t="b">
        <x:v>1</x:v>
      </x:c>
      <x:c r="Z42" s="15" t="b">
        <x:v>0</x:v>
      </x:c>
      <x:c r="AA42" s="15" t="b">
        <x:v>1</x:v>
      </x:c>
      <x:c r="AB42" s="15" t="b">
        <x:v>1</x:v>
      </x:c>
      <x:c r="AC42" t="str">
        <x:v>Spodoptera|XP_035449983.2</x:v>
      </x:c>
      <x:c r="AD42" s="19" t="n">
        <x:v>0</x:v>
      </x:c>
      <x:c r="AE42" t="n">
        <x:v>1003</x:v>
      </x:c>
      <x:c r="AF42" t="n">
        <x:v>88.683</x:v>
      </x:c>
      <x:c r="AG42" t="n">
        <x:v>99.8148</x:v>
      </x:c>
      <x:c r="AH42" t="n">
        <x:v>100</x:v>
      </x:c>
      <x:c r="AI42" t="str">
        <x:v>sp|A0A291PQF1|UGT5_DACCO</x:v>
      </x:c>
      <x:c r="AJ42" t="str">
        <x:v>sp|A0A291PQF1|UGT5_DACCO UDP-glycosyltransferase UGT5 OS=Dactylopius coccus OX=765876 GN=UGT5 PE=1 SV=1</x:v>
      </x:c>
      <x:c r="AK42" s="19" t="n">
        <x:v>1.65e-91</x:v>
      </x:c>
      <x:c r="AL42" t="n">
        <x:v>293</x:v>
      </x:c>
      <x:c r="AM42" t="n">
        <x:v>35.1</x:v>
      </x:c>
      <x:c r="AN42" t="n">
        <x:v>91.85185185185185</x:v>
      </x:c>
      <x:c r="AO42" t="n">
        <x:v>94.29657794676807</x:v>
      </x:c>
      <x:c r="AP42" t="n">
        <x:v>1</x:v>
      </x:c>
      <x:c r="AQ42" t="n">
        <x:v>9</x:v>
      </x:c>
      <x:c r="AR42" t="str">
        <x:v>UGT_C001</x:v>
      </x:c>
      <x:c r="AS42" t="n">
        <x:v>15</x:v>
      </x:c>
      <x:c r="AT42" s="17" t="n">
        <x:f>AVERAGE(E42:G42)</x:f>
        <x:v>2.4616073333333333</x:v>
      </x:c>
      <x:c r="AU42" s="17" t="n">
        <x:f>STDEV.S(E42:G42)</x:f>
        <x:v>2.449232744994304</x:v>
      </x:c>
      <x:c r="AV42" s="17" t="n">
        <x:f>AVERAGE(H42:J42)</x:f>
        <x:v>1.4050166666666666</x:v>
      </x:c>
      <x:c r="AW42" s="17" t="n">
        <x:f>STDEV.S(H42:J42)</x:f>
        <x:v>0.7741519242838149</x:v>
      </x:c>
      <x:c r="AX42" s="17" t="n">
        <x:f>AV42-AT42</x:f>
        <x:v>-1.0565906666666667</x:v>
      </x:c>
      <x:c r="AY42" s="17" t="n">
        <x:f>LOG((AV42+1)/(AT42+1),2)</x:f>
        <x:v>-0.5253951903437246</x:v>
      </x:c>
      <x:c r="AZ42" s="17" t="n">
        <x:f>AVERAGE(E42:J42)</x:f>
        <x:v>1.9333119999999997</x:v>
      </x:c>
      <x:c r="BA42" s="17" t="n">
        <x:f>MAX(E42:J42)</x:f>
        <x:v>5.289692</x:v>
      </x:c>
      <x:c r="BB42" s="20" t="n">
        <x:f>IF(Q42="provisional_HQ_domain",2,0)+IF(Y42,1,0)+IF(AB42,1,0)+IF(AI42&lt;&gt;"",1,0)+IF(AP42+AQ42&gt;0,1,0)</x:f>
        <x:v>6</x:v>
      </x:c>
      <x:c r="BC42" t="str">
        <x:f>IF(OR(ISNUMBER(SEARCH("exclude",U42)),ISNUMBER(SEARCH("hold",U42)),ISNUMBER(SEARCH("hold",W42))),"Review",IF(BB42&gt;=5,"Strong multi-evidence",IF(BB42&gt;=3,"Supported","Weak/inspect")))</x:f>
        <x:v>Strong multi-evidence</x:v>
      </x:c>
    </x:row>
    <x:row r="43">
      <x:c r="A43" t="str">
        <x:v>UGT</x:v>
      </x:c>
      <x:c r="B43" t="str">
        <x:v>TRINITY_DN12106_c1_g5</x:v>
      </x:c>
      <x:c r="C43" t="str">
        <x:v>no</x:v>
      </x:c>
      <x:c r="D43" t="n">
        <x:v>1</x:v>
      </x:c>
      <x:c r="E43" s="17" t="n">
        <x:v>0.123093</x:v>
      </x:c>
      <x:c r="F43" s="17" t="n">
        <x:v>0.154383</x:v>
      </x:c>
      <x:c r="G43" s="17" t="n">
        <x:v>0.314569</x:v>
      </x:c>
      <x:c r="H43" s="17" t="n">
        <x:v>0</x:v>
      </x:c>
      <x:c r="I43" s="17" t="n">
        <x:v>0</x:v>
      </x:c>
      <x:c r="J43" s="17" t="n">
        <x:v>0</x:v>
      </x:c>
      <x:c r="K43" s="17" t="n">
        <x:v>0.17465181999999999</x:v>
      </x:c>
      <x:c r="L43" s="17" t="n">
        <x:v>0</x:v>
      </x:c>
      <x:c r="M43" s="17" t="n">
        <x:v>-0.17465181999999999</x:v>
      </x:c>
      <x:c r="N43" s="18"/>
      <x:c r="O43" t="str">
        <x:v>TRINITY_DN12106_c1_g5_i1.p1</x:v>
      </x:c>
      <x:c r="P43" t="n">
        <x:v>132</x:v>
      </x:c>
      <x:c r="Q43" t="str">
        <x:v>provisional_HQ_domain</x:v>
      </x:c>
      <x:c r="R43" t="str">
        <x:v>family_defining_domain_detected</x:v>
      </x:c>
      <x:c r="S43" t="str">
        <x:v>IPR002213;PF00201</x:v>
      </x:c>
      <x:c r="T43" t="str">
        <x:v>UDP-glucoronosyl and UDP-glucosyl transferase;UDP-glucuronosyl/UDP-glucosyltransferase</x:v>
      </x:c>
      <x:c r="U43"/>
      <x:c r="V43"/>
      <x:c r="W43"/>
      <x:c r="X43"/>
      <x:c r="Y43" s="15" t="b">
        <x:v>1</x:v>
      </x:c>
      <x:c r="Z43" s="15" t="b">
        <x:v>0</x:v>
      </x:c>
      <x:c r="AA43" s="15" t="b">
        <x:v>1</x:v>
      </x:c>
      <x:c r="AB43" s="15" t="b">
        <x:v>0</x:v>
      </x:c>
      <x:c r="AC43" t="str">
        <x:v>Spodoptera|XP_035454584.2</x:v>
      </x:c>
      <x:c r="AD43" s="19" t="n">
        <x:v>2.19e-67</x:v>
      </x:c>
      <x:c r="AE43" t="n">
        <x:v>205</x:v>
      </x:c>
      <x:c r="AF43" t="n">
        <x:v>71.756</x:v>
      </x:c>
      <x:c r="AG43" t="n">
        <x:v>99.2424</x:v>
      </x:c>
      <x:c r="AH43" t="n">
        <x:v>25.2896</x:v>
      </x:c>
      <x:c r="AI43" t="str">
        <x:v>sp|A0A291PQF1|UGT5_DACCO</x:v>
      </x:c>
      <x:c r="AJ43" t="str">
        <x:v>sp|A0A291PQF1|UGT5_DACCO UDP-glycosyltransferase UGT5 OS=Dactylopius coccus OX=765876 GN=UGT5 PE=1 SV=1</x:v>
      </x:c>
      <x:c r="AK43" s="19" t="n">
        <x:v>5e-32</x:v>
      </x:c>
      <x:c r="AL43" t="n">
        <x:v>121</x:v>
      </x:c>
      <x:c r="AM43" t="n">
        <x:v>43.5</x:v>
      </x:c>
      <x:c r="AN43" t="n">
        <x:v>93.93939393939394</x:v>
      </x:c>
      <x:c r="AO43" t="n">
        <x:v>23.574144486692017</x:v>
      </x:c>
      <x:c r="AP43" t="n">
        <x:v>0</x:v>
      </x:c>
      <x:c r="AQ43" t="n">
        <x:v>0</x:v>
      </x:c>
      <x:c r="AR43" t="str">
        <x:v>UGT_C002</x:v>
      </x:c>
      <x:c r="AS43" t="n">
        <x:v>7</x:v>
      </x:c>
      <x:c r="AT43" s="17" t="n">
        <x:f>AVERAGE(E43:G43)</x:f>
        <x:v>0.19734833333333332</x:v>
      </x:c>
      <x:c r="AU43" s="17" t="n">
        <x:f>STDEV.S(E43:G43)</x:f>
        <x:v>0.10271455371724755</x:v>
      </x:c>
      <x:c r="AV43" s="17" t="n">
        <x:f>AVERAGE(H43:J43)</x:f>
        <x:v>0</x:v>
      </x:c>
      <x:c r="AW43" s="17" t="n">
        <x:f>STDEV.S(H43:J43)</x:f>
        <x:v>0</x:v>
      </x:c>
      <x:c r="AX43" s="17" t="n">
        <x:f>AV43-AT43</x:f>
        <x:v>-0.19734833333333332</x:v>
      </x:c>
      <x:c r="AY43" s="17" t="n">
        <x:f>LOG((AV43+1)/(AT43+1),2)</x:f>
        <x:v>-0.2598429230968184</x:v>
      </x:c>
      <x:c r="AZ43" s="17" t="n">
        <x:f>AVERAGE(E43:J43)</x:f>
        <x:v>0.09867416666666666</x:v>
      </x:c>
      <x:c r="BA43" s="17" t="n">
        <x:f>MAX(E43:J43)</x:f>
        <x:v>0.314569</x:v>
      </x:c>
      <x:c r="BB43" s="20" t="n">
        <x:f>IF(Q43="provisional_HQ_domain",2,0)+IF(Y43,1,0)+IF(AB43,1,0)+IF(AI43&lt;&gt;"",1,0)+IF(AP43+AQ43&gt;0,1,0)</x:f>
        <x:v>4</x:v>
      </x:c>
      <x:c r="BC43" t="str">
        <x:f>IF(OR(ISNUMBER(SEARCH("exclude",U43)),ISNUMBER(SEARCH("hold",U43)),ISNUMBER(SEARCH("hold",W43))),"Review",IF(BB43&gt;=5,"Strong multi-evidence",IF(BB43&gt;=3,"Supported","Weak/inspect")))</x:f>
        <x:v>Supported</x:v>
      </x:c>
    </x:row>
    <x:row r="44">
      <x:c r="A44" t="str">
        <x:v>UGT</x:v>
      </x:c>
      <x:c r="B44" t="str">
        <x:v>TRINITY_DN1342_c0_g2</x:v>
      </x:c>
      <x:c r="C44" t="str">
        <x:v>no</x:v>
      </x:c>
      <x:c r="D44" t="n">
        <x:v>6</x:v>
      </x:c>
      <x:c r="E44" s="17" t="n">
        <x:v>2.363133</x:v>
      </x:c>
      <x:c r="F44" s="17" t="n">
        <x:v>4.55262</x:v>
      </x:c>
      <x:c r="G44" s="17" t="n">
        <x:v>2.80302</x:v>
      </x:c>
      <x:c r="H44" s="17" t="n">
        <x:v>3.7963739999999997</x:v>
      </x:c>
      <x:c r="I44" s="17" t="n">
        <x:v>2.714908</x:v>
      </x:c>
      <x:c r="J44" s="17" t="n">
        <x:v>3.186201</x:v>
      </x:c>
      <x:c r="K44" s="17" t="n">
        <x:v>2.82394728</x:v>
      </x:c>
      <x:c r="L44" s="17" t="n">
        <x:v>2.7834264</x:v>
      </x:c>
      <x:c r="M44" s="17" t="n">
        <x:v>-0.04052087999999987</x:v>
      </x:c>
      <x:c r="N44" s="18" t="n">
        <x:v>0.478976028412385</x:v>
      </x:c>
      <x:c r="O44" t="str">
        <x:v>TRINITY_DN1342_c0_g2_i6.p1</x:v>
      </x:c>
      <x:c r="P44" t="n">
        <x:v>301</x:v>
      </x:c>
      <x:c r="Q44" t="str">
        <x:v>review</x:v>
      </x:c>
      <x:c r="R44" t="str">
        <x:v>no_family_defining_domain_in_current_core_table</x:v>
      </x:c>
      <x:c r="S44" t="str">
        <x:v>IPR001584;IPR005027;PF00665;PF03360</x:v>
      </x:c>
      <x:c r="T44" t="str">
        <x:v>Glycosyl transferase, family 43;Glycosyltransferase family 43;Integrase core domain;Integrase, catalytic core</x:v>
      </x:c>
      <x:c r="U44" t="str">
        <x:v>exclude_from_canonical_UGT</x:v>
      </x:c>
      <x:c r="V44" t="str">
        <x:v>alternative domain architecture; PF00201/IPR002213 absent</x:v>
      </x:c>
      <x:c r="W44"/>
      <x:c r="X44"/>
      <x:c r="Y44" s="15" t="b">
        <x:v>1</x:v>
      </x:c>
      <x:c r="Z44" s="15" t="b">
        <x:v>0</x:v>
      </x:c>
      <x:c r="AA44" s="15" t="b">
        <x:v>1</x:v>
      </x:c>
      <x:c r="AB44" s="15" t="b">
        <x:v>1</x:v>
      </x:c>
      <x:c r="AC44" t="str">
        <x:v>Spodoptera|XP_035437320.1</x:v>
      </x:c>
      <x:c r="AD44" s="19" t="n">
        <x:v>0</x:v>
      </x:c>
      <x:c r="AE44" t="n">
        <x:v>554</x:v>
      </x:c>
      <x:c r="AF44" t="n">
        <x:v>87</x:v>
      </x:c>
      <x:c r="AG44" t="n">
        <x:v>100</x:v>
      </x:c>
      <x:c r="AH44" t="n">
        <x:v>100</x:v>
      </x:c>
      <x:c r="AI44" t="str">
        <x:v>sp|Q09363|SQV8_CAEEL</x:v>
      </x:c>
      <x:c r="AJ44" t="str">
        <x:v>sp|Q09363|SQV8_CAEEL Galactosylgalactosylxylosylprotein 3-beta-glucuronosyltransferase sqv-8 OS=Caenorhabditis elegans OX=6239 GN=sqv-8 PE=1 SV=1</x:v>
      </x:c>
      <x:c r="AK44" s="19" t="n">
        <x:v>5.69e-79</x:v>
      </x:c>
      <x:c r="AL44" t="n">
        <x:v>246</x:v>
      </x:c>
      <x:c r="AM44" t="n">
        <x:v>53.4</x:v>
      </x:c>
      <x:c r="AN44" t="n">
        <x:v>83.66666666666667</x:v>
      </x:c>
      <x:c r="AO44" t="n">
        <x:v>70.50561797752809</x:v>
      </x:c>
      <x:c r="AP44" t="n">
        <x:v>0</x:v>
      </x:c>
      <x:c r="AQ44" t="n">
        <x:v>0</x:v>
      </x:c>
      <x:c r="AR44" t="str">
        <x:v>UGT_C003</x:v>
      </x:c>
      <x:c r="AS44" t="n">
        <x:v>2</x:v>
      </x:c>
      <x:c r="AT44" s="17" t="n">
        <x:f>AVERAGE(E44:G44)</x:f>
        <x:v>3.2395910000000003</x:v>
      </x:c>
      <x:c r="AU44" s="17" t="n">
        <x:f>STDEV.S(E44:G44)</x:f>
        <x:v>1.1581921297103517</x:v>
      </x:c>
      <x:c r="AV44" s="17" t="n">
        <x:f>AVERAGE(H44:J44)</x:f>
        <x:v>3.2324943333333334</x:v>
      </x:c>
      <x:c r="AW44" s="17" t="n">
        <x:f>STDEV.S(H44:J44)</x:f>
        <x:v>0.5422171906370484</x:v>
      </x:c>
      <x:c r="AX44" s="17" t="n">
        <x:f>AV44-AT44</x:f>
        <x:v>-0.007096666666666973</x:v>
      </x:c>
      <x:c r="AY44" s="17" t="n">
        <x:f>LOG((AV44+1)/(AT44+1),2)</x:f>
        <x:v>-0.002416955872995685</x:v>
      </x:c>
      <x:c r="AZ44" s="17" t="n">
        <x:f>AVERAGE(E44:J44)</x:f>
        <x:v>3.2360426666666666</x:v>
      </x:c>
      <x:c r="BA44" s="17" t="n">
        <x:f>MAX(E44:J44)</x:f>
        <x:v>4.55262</x:v>
      </x:c>
      <x:c r="BB44" s="20" t="n">
        <x:f>IF(Q44="provisional_HQ_domain",2,0)+IF(Y44,1,0)+IF(AB44,1,0)+IF(AI44&lt;&gt;"",1,0)+IF(AP44+AQ44&gt;0,1,0)</x:f>
        <x:v>3</x:v>
      </x:c>
      <x:c r="BC44" t="str">
        <x:f>IF(OR(ISNUMBER(SEARCH("exclude",U44)),ISNUMBER(SEARCH("hold",U44)),ISNUMBER(SEARCH("hold",W44))),"Review",IF(BB44&gt;=5,"Strong multi-evidence",IF(BB44&gt;=3,"Supported","Weak/inspect")))</x:f>
        <x:v>Review</x:v>
      </x:c>
    </x:row>
    <x:row r="45">
      <x:c r="A45" t="str">
        <x:v>UGT</x:v>
      </x:c>
      <x:c r="B45" t="str">
        <x:v>TRINITY_DN13580_c0_g1</x:v>
      </x:c>
      <x:c r="C45" t="str">
        <x:v>no</x:v>
      </x:c>
      <x:c r="D45" t="n">
        <x:v>2</x:v>
      </x:c>
      <x:c r="E45" s="17" t="n">
        <x:v>0.129683</x:v>
      </x:c>
      <x:c r="F45" s="17" t="n">
        <x:v>0.217209</x:v>
      </x:c>
      <x:c r="G45" s="17" t="n">
        <x:v>0.175213</x:v>
      </x:c>
      <x:c r="H45" s="17" t="n">
        <x:v>0.214099</x:v>
      </x:c>
      <x:c r="I45" s="17" t="n">
        <x:v>0.062315</x:v>
      </x:c>
      <x:c r="J45" s="17" t="n">
        <x:v>0.115995</x:v>
      </x:c>
      <x:c r="K45" s="17" t="n">
        <x:v>0.15758909999999998</x:v>
      </x:c>
      <x:c r="L45" s="17" t="n">
        <x:v>0.13356122</x:v>
      </x:c>
      <x:c r="M45" s="17" t="n">
        <x:v>-0.024027879999999974</x:v>
      </x:c>
      <x:c r="N45" s="18" t="n">
        <x:v>0.999999010765626</x:v>
      </x:c>
      <x:c r="O45" t="str">
        <x:v>TRINITY_DN13580_c0_g1_i1.p1</x:v>
      </x:c>
      <x:c r="P45" t="n">
        <x:v>345</x:v>
      </x:c>
      <x:c r="Q45" t="str">
        <x:v>review</x:v>
      </x:c>
      <x:c r="R45" t="str">
        <x:v>no_family_defining_domain_in_current_core_table</x:v>
      </x:c>
      <x:c r="S45" t="str">
        <x:v>IPR005027;PF03360</x:v>
      </x:c>
      <x:c r="T45" t="str">
        <x:v>Glycosyl transferase, family 43;Glycosyltransferase family 43</x:v>
      </x:c>
      <x:c r="U45" t="str">
        <x:v>exclude_from_canonical_UGT</x:v>
      </x:c>
      <x:c r="V45" t="str">
        <x:v>alternative domain architecture; PF00201/IPR002213 absent</x:v>
      </x:c>
      <x:c r="W45"/>
      <x:c r="X45"/>
      <x:c r="Y45" s="15" t="b">
        <x:v>1</x:v>
      </x:c>
      <x:c r="Z45" s="15" t="b">
        <x:v>0</x:v>
      </x:c>
      <x:c r="AA45" s="15" t="b">
        <x:v>1</x:v>
      </x:c>
      <x:c r="AB45" s="15" t="b">
        <x:v>1</x:v>
      </x:c>
      <x:c r="AC45" t="str">
        <x:v>Spodoptera|XP_035430162.1</x:v>
      </x:c>
      <x:c r="AD45" s="19" t="n">
        <x:v>0</x:v>
      </x:c>
      <x:c r="AE45" t="n">
        <x:v>548</x:v>
      </x:c>
      <x:c r="AF45" t="n">
        <x:v>75</x:v>
      </x:c>
      <x:c r="AG45" t="n">
        <x:v>100</x:v>
      </x:c>
      <x:c r="AH45" t="n">
        <x:v>98.2857</x:v>
      </x:c>
      <x:c r="AI45" t="str">
        <x:v>sp|Q9VLA1|B3G2S_DROME</x:v>
      </x:c>
      <x:c r="AJ45" t="str">
        <x:v>sp|Q9VLA1|B3G2S_DROME Galactosylgalactosylxylosylprotein 3-beta-glucuronosyltransferase S OS=Drosophila melanogaster OX=7227 GN=GlcAT-S PE=1 SV=2</x:v>
      </x:c>
      <x:c r="AK45" s="19" t="n">
        <x:v>6.71e-100</x:v>
      </x:c>
      <x:c r="AL45" t="n">
        <x:v>303</x:v>
      </x:c>
      <x:c r="AM45" t="n">
        <x:v>49.5</x:v>
      </x:c>
      <x:c r="AN45" t="n">
        <x:v>88.66279069767442</x:v>
      </x:c>
      <x:c r="AO45" t="n">
        <x:v>74.5721271393643</x:v>
      </x:c>
      <x:c r="AP45" t="n">
        <x:v>0</x:v>
      </x:c>
      <x:c r="AQ45" t="n">
        <x:v>0</x:v>
      </x:c>
      <x:c r="AR45" t="str">
        <x:v>UGT_C003</x:v>
      </x:c>
      <x:c r="AS45" t="n">
        <x:v>2</x:v>
      </x:c>
      <x:c r="AT45" s="17" t="n">
        <x:f>AVERAGE(E45:G45)</x:f>
        <x:v>0.17403500000000002</x:v>
      </x:c>
      <x:c r="AU45" s="17" t="n">
        <x:f>STDEV.S(E45:G45)</x:f>
        <x:v>0.04377488928598222</x:v>
      </x:c>
      <x:c r="AV45" s="17" t="n">
        <x:f>AVERAGE(H45:J45)</x:f>
        <x:v>0.130803</x:v>
      </x:c>
      <x:c r="AW45" s="17" t="n">
        <x:f>STDEV.S(H45:J45)</x:f>
        <x:v>0.07696787194667656</x:v>
      </x:c>
      <x:c r="AX45" s="17" t="n">
        <x:f>AV45-AT45</x:f>
        <x:v>-0.04323200000000002</x:v>
      </x:c>
      <x:c r="AY45" s="17" t="n">
        <x:f>LOG((AV45+1)/(AT45+1),2)</x:f>
        <x:v>-0.054127802575593444</x:v>
      </x:c>
      <x:c r="AZ45" s="17" t="n">
        <x:f>AVERAGE(E45:J45)</x:f>
        <x:v>0.152419</x:v>
      </x:c>
      <x:c r="BA45" s="17" t="n">
        <x:f>MAX(E45:J45)</x:f>
        <x:v>0.217209</x:v>
      </x:c>
      <x:c r="BB45" s="20" t="n">
        <x:f>IF(Q45="provisional_HQ_domain",2,0)+IF(Y45,1,0)+IF(AB45,1,0)+IF(AI45&lt;&gt;"",1,0)+IF(AP45+AQ45&gt;0,1,0)</x:f>
        <x:v>3</x:v>
      </x:c>
      <x:c r="BC45" t="str">
        <x:f>IF(OR(ISNUMBER(SEARCH("exclude",U45)),ISNUMBER(SEARCH("hold",U45)),ISNUMBER(SEARCH("hold",W45))),"Review",IF(BB45&gt;=5,"Strong multi-evidence",IF(BB45&gt;=3,"Supported","Weak/inspect")))</x:f>
        <x:v>Review</x:v>
      </x:c>
    </x:row>
    <x:row r="46">
      <x:c r="A46" t="str">
        <x:v>UGT</x:v>
      </x:c>
      <x:c r="B46" t="str">
        <x:v>TRINITY_DN16531_c0_g1</x:v>
      </x:c>
      <x:c r="C46" t="str">
        <x:v>no</x:v>
      </x:c>
      <x:c r="D46" t="n">
        <x:v>4</x:v>
      </x:c>
      <x:c r="E46" s="17" t="n">
        <x:v>0.100847</x:v>
      </x:c>
      <x:c r="F46" s="17" t="n">
        <x:v>0.7889349999999999</x:v>
      </x:c>
      <x:c r="G46" s="17" t="n">
        <x:v>0.348314</x:v>
      </x:c>
      <x:c r="H46" s="17" t="n">
        <x:v>0.382125</x:v>
      </x:c>
      <x:c r="I46" s="17" t="n">
        <x:v>0.22200199999999998</x:v>
      </x:c>
      <x:c r="J46" s="17" t="n">
        <x:v>0.29913100000000004</x:v>
      </x:c>
      <x:c r="K46" s="17" t="n">
        <x:v>0.43546715999999996</x:v>
      </x:c>
      <x:c r="L46" s="17" t="n">
        <x:v>0.27747436</x:v>
      </x:c>
      <x:c r="M46" s="17" t="n">
        <x:v>-0.1579928</x:v>
      </x:c>
      <x:c r="N46" s="18" t="n">
        <x:v>0.999999010765626</x:v>
      </x:c>
      <x:c r="O46" t="str">
        <x:v>TRINITY_DN16531_c0_g1_i1.p1</x:v>
      </x:c>
      <x:c r="P46" t="n">
        <x:v>569</x:v>
      </x:c>
      <x:c r="Q46" t="str">
        <x:v>review</x:v>
      </x:c>
      <x:c r="R46" t="str">
        <x:v>no_family_defining_domain_in_current_core_table</x:v>
      </x:c>
      <x:c r="S46" t="str">
        <x:v>IPR002654;PF01755;PF13704</x:v>
      </x:c>
      <x:c r="T46" t="str">
        <x:v>Glycosyl transferase family 2;Glycosyl transferase, family 25;Glycosyltransferase family 25 (LPS biosynthesis protein)</x:v>
      </x:c>
      <x:c r="U46" t="str">
        <x:v>exclude_from_canonical_UGT</x:v>
      </x:c>
      <x:c r="V46" t="str">
        <x:v>alternative domain architecture; PF00201/IPR002213 absent</x:v>
      </x:c>
      <x:c r="W46"/>
      <x:c r="X46"/>
      <x:c r="Y46" s="15" t="b">
        <x:v>1</x:v>
      </x:c>
      <x:c r="Z46" s="15" t="b">
        <x:v>0</x:v>
      </x:c>
      <x:c r="AA46" s="15" t="b">
        <x:v>1</x:v>
      </x:c>
      <x:c r="AB46" s="15" t="b">
        <x:v>1</x:v>
      </x:c>
      <x:c r="AC46" t="str">
        <x:v>Spodoptera|XP_035438682.2</x:v>
      </x:c>
      <x:c r="AD46" s="19" t="n">
        <x:v>0</x:v>
      </x:c>
      <x:c r="AE46" t="n">
        <x:v>1008</x:v>
      </x:c>
      <x:c r="AF46" t="n">
        <x:v>84.534</x:v>
      </x:c>
      <x:c r="AG46" t="n">
        <x:v>100.176</x:v>
      </x:c>
      <x:c r="AH46" t="n">
        <x:v>100.53</x:v>
      </x:c>
      <x:c r="AI46" t="str">
        <x:v>sp|Q7Q021|GLT25_ANOGA</x:v>
      </x:c>
      <x:c r="AJ46" t="str">
        <x:v>sp|Q7Q021|GLT25_ANOGA Glycosyltransferase 25 family member OS=Anopheles gambiae OX=7165 GN=AGAP012208 PE=3 SV=4</x:v>
      </x:c>
      <x:c r="AK46" s="19" t="n">
        <x:v>2.57e-194</x:v>
      </x:c>
      <x:c r="AL46" t="n">
        <x:v>560</x:v>
      </x:c>
      <x:c r="AM46" t="n">
        <x:v>51.4</x:v>
      </x:c>
      <x:c r="AN46" t="n">
        <x:v>94.8943661971831</x:v>
      </x:c>
      <x:c r="AO46" t="n">
        <x:v>91.04729729729729</x:v>
      </x:c>
      <x:c r="AP46" t="n">
        <x:v>0</x:v>
      </x:c>
      <x:c r="AQ46" t="n">
        <x:v>0</x:v>
      </x:c>
      <x:c r="AR46" t="str">
        <x:v>UGT_C004</x:v>
      </x:c>
      <x:c r="AS46" t="n">
        <x:v>1</x:v>
      </x:c>
      <x:c r="AT46" s="17" t="n">
        <x:f>AVERAGE(E46:G46)</x:f>
        <x:v>0.4126986666666667</x:v>
      </x:c>
      <x:c r="AU46" s="17" t="n">
        <x:f>STDEV.S(E46:G46)</x:f>
        <x:v>0.34853308725619336</x:v>
      </x:c>
      <x:c r="AV46" s="17" t="n">
        <x:f>AVERAGE(H46:J46)</x:f>
        <x:v>0.301086</x:v>
      </x:c>
      <x:c r="AW46" s="17" t="n">
        <x:f>STDEV.S(H46:J46)</x:f>
        <x:v>0.08007939997902082</x:v>
      </x:c>
      <x:c r="AX46" s="17" t="n">
        <x:f>AV46-AT46</x:f>
        <x:v>-0.1116126666666667</x:v>
      </x:c>
      <x:c r="AY46" s="17" t="n">
        <x:f>LOG((AV46+1)/(AT46+1),2)</x:f>
        <x:v>-0.11873744145656065</x:v>
      </x:c>
      <x:c r="AZ46" s="17" t="n">
        <x:f>AVERAGE(E46:J46)</x:f>
        <x:v>0.35689233333333337</x:v>
      </x:c>
      <x:c r="BA46" s="17" t="n">
        <x:f>MAX(E46:J46)</x:f>
        <x:v>0.7889349999999999</x:v>
      </x:c>
      <x:c r="BB46" s="20" t="n">
        <x:f>IF(Q46="provisional_HQ_domain",2,0)+IF(Y46,1,0)+IF(AB46,1,0)+IF(AI46&lt;&gt;"",1,0)+IF(AP46+AQ46&gt;0,1,0)</x:f>
        <x:v>3</x:v>
      </x:c>
      <x:c r="BC46" t="str">
        <x:f>IF(OR(ISNUMBER(SEARCH("exclude",U46)),ISNUMBER(SEARCH("hold",U46)),ISNUMBER(SEARCH("hold",W46))),"Review",IF(BB46&gt;=5,"Strong multi-evidence",IF(BB46&gt;=3,"Supported","Weak/inspect")))</x:f>
        <x:v>Review</x:v>
      </x:c>
    </x:row>
    <x:row r="47">
      <x:c r="A47" t="str">
        <x:v>UGT</x:v>
      </x:c>
      <x:c r="B47" t="str">
        <x:v>TRINITY_DN1687_c0_g1</x:v>
      </x:c>
      <x:c r="C47" t="str">
        <x:v>no</x:v>
      </x:c>
      <x:c r="D47" t="n">
        <x:v>13</x:v>
      </x:c>
      <x:c r="E47" s="17" t="n">
        <x:v>6.278254</x:v>
      </x:c>
      <x:c r="F47" s="17" t="n">
        <x:v>8.758454</x:v>
      </x:c>
      <x:c r="G47" s="17" t="n">
        <x:v>5.843915</x:v>
      </x:c>
      <x:c r="H47" s="17" t="n">
        <x:v>10.933138</x:v>
      </x:c>
      <x:c r="I47" s="17" t="n">
        <x:v>8.49745</x:v>
      </x:c>
      <x:c r="J47" s="17" t="n">
        <x:v>10.407913</x:v>
      </x:c>
      <x:c r="K47" s="17" t="n">
        <x:v>6.67223908</x:v>
      </x:c>
      <x:c r="L47" s="17" t="n">
        <x:v>9.58825296</x:v>
      </x:c>
      <x:c r="M47" s="17" t="n">
        <x:v>2.9160138800000004</x:v>
      </x:c>
      <x:c r="N47" s="18" t="n">
        <x:v>0.0802550122365503</x:v>
      </x:c>
      <x:c r="O47" t="str">
        <x:v>TRINITY_DN1687_c0_g1_i11.p1</x:v>
      </x:c>
      <x:c r="P47" t="n">
        <x:v>216</x:v>
      </x:c>
      <x:c r="Q47" t="str">
        <x:v>review</x:v>
      </x:c>
      <x:c r="R47" t="str">
        <x:v>no_family_defining_domain_in_current_core_table</x:v>
      </x:c>
      <x:c r="S47" t="str">
        <x:v>IPR007052;IPR007699;PF04969;PF05002</x:v>
      </x:c>
      <x:c r="T47" t="str">
        <x:v>CS domain;SGS domain</x:v>
      </x:c>
      <x:c r="U47" t="str">
        <x:v>exclude_from_canonical_UGT</x:v>
      </x:c>
      <x:c r="V47" t="str">
        <x:v>alternative domain architecture; PF00201/IPR002213 absent</x:v>
      </x:c>
      <x:c r="W47"/>
      <x:c r="X47"/>
      <x:c r="Y47" s="15" t="b">
        <x:v>1</x:v>
      </x:c>
      <x:c r="Z47" s="15" t="b">
        <x:v>0</x:v>
      </x:c>
      <x:c r="AA47" s="15" t="b">
        <x:v>1</x:v>
      </x:c>
      <x:c r="AB47" s="15" t="b">
        <x:v>1</x:v>
      </x:c>
      <x:c r="AC47" t="str">
        <x:v>Spodoptera|XP_035456266.1</x:v>
      </x:c>
      <x:c r="AD47" s="19" t="n">
        <x:v>1.31e-131</x:v>
      </x:c>
      <x:c r="AE47" t="n">
        <x:v>362</x:v>
      </x:c>
      <x:c r="AF47" t="n">
        <x:v>86.111</x:v>
      </x:c>
      <x:c r="AG47" t="n">
        <x:v>100.465</x:v>
      </x:c>
      <x:c r="AH47" t="n">
        <x:v>100</x:v>
      </x:c>
      <x:c r="AI47" t="str">
        <x:v>sp|Q9CX34|SGT1_MOUSE</x:v>
      </x:c>
      <x:c r="AJ47" t="str">
        <x:v>sp|Q9CX34|SGT1_MOUSE Protein SGT1 homolog OS=Mus musculus OX=10090 GN=Sugt1 PE=1 SV=3</x:v>
      </x:c>
      <x:c r="AK47" s="19" t="n">
        <x:v>2.53e-59</x:v>
      </x:c>
      <x:c r="AL47" t="n">
        <x:v>192</x:v>
      </x:c>
      <x:c r="AM47" t="n">
        <x:v>47.3</x:v>
      </x:c>
      <x:c r="AN47" t="n">
        <x:v>96.27906976744185</x:v>
      </x:c>
      <x:c r="AO47" t="n">
        <x:v>61.607142857142854</x:v>
      </x:c>
      <x:c r="AP47" t="n">
        <x:v>0</x:v>
      </x:c>
      <x:c r="AQ47" t="n">
        <x:v>0</x:v>
      </x:c>
      <x:c r="AR47" t="str">
        <x:v>UGT_C005</x:v>
      </x:c>
      <x:c r="AS47" t="n">
        <x:v>1</x:v>
      </x:c>
      <x:c r="AT47" s="17" t="n">
        <x:f>AVERAGE(E47:G47)</x:f>
        <x:v>6.960207666666666</x:v>
      </x:c>
      <x:c r="AU47" s="17" t="n">
        <x:f>STDEV.S(E47:G47)</x:f>
        <x:v>1.5723962599295174</x:v>
      </x:c>
      <x:c r="AV47" s="17" t="n">
        <x:f>AVERAGE(H47:J47)</x:f>
        <x:v>9.946167</x:v>
      </x:c>
      <x:c r="AW47" s="17" t="n">
        <x:f>STDEV.S(H47:J47)</x:f>
        <x:v>1.2818155228904817</x:v>
      </x:c>
      <x:c r="AX47" s="17" t="n">
        <x:f>AV47-AT47</x:f>
        <x:v>2.9859593333333345</x:v>
      </x:c>
      <x:c r="AY47" s="17" t="n">
        <x:f>LOG((AV47+1)/(AT47+1),2)</x:f>
        <x:v>0.4595477987367694</x:v>
      </x:c>
      <x:c r="AZ47" s="17" t="n">
        <x:f>AVERAGE(E47:J47)</x:f>
        <x:v>8.453187333333334</x:v>
      </x:c>
      <x:c r="BA47" s="17" t="n">
        <x:f>MAX(E47:J47)</x:f>
        <x:v>10.933138</x:v>
      </x:c>
      <x:c r="BB47" s="20" t="n">
        <x:f>IF(Q47="provisional_HQ_domain",2,0)+IF(Y47,1,0)+IF(AB47,1,0)+IF(AI47&lt;&gt;"",1,0)+IF(AP47+AQ47&gt;0,1,0)</x:f>
        <x:v>3</x:v>
      </x:c>
      <x:c r="BC47" t="str">
        <x:f>IF(OR(ISNUMBER(SEARCH("exclude",U47)),ISNUMBER(SEARCH("hold",U47)),ISNUMBER(SEARCH("hold",W47))),"Review",IF(BB47&gt;=5,"Strong multi-evidence",IF(BB47&gt;=3,"Supported","Weak/inspect")))</x:f>
        <x:v>Review</x:v>
      </x:c>
    </x:row>
    <x:row r="48">
      <x:c r="A48" t="str">
        <x:v>UGT</x:v>
      </x:c>
      <x:c r="B48" t="str">
        <x:v>TRINITY_DN1689_c0_g1</x:v>
      </x:c>
      <x:c r="C48" t="str">
        <x:v>yes</x:v>
      </x:c>
      <x:c r="D48" t="n">
        <x:v>2</x:v>
      </x:c>
      <x:c r="E48" s="17" t="n">
        <x:v>7.946454</x:v>
      </x:c>
      <x:c r="F48" s="17" t="n">
        <x:v>25.276881000000003</x:v>
      </x:c>
      <x:c r="G48" s="17" t="n">
        <x:v>31.249921</x:v>
      </x:c>
      <x:c r="H48" s="17" t="n">
        <x:v>19.923954000000002</x:v>
      </x:c>
      <x:c r="I48" s="17" t="n">
        <x:v>35.437479999999994</x:v>
      </x:c>
      <x:c r="J48" s="17" t="n">
        <x:v>28.001607</x:v>
      </x:c>
      <x:c r="K48" s="17" t="n">
        <x:v>19.1803864</x:v>
      </x:c>
      <x:c r="L48" s="17" t="n">
        <x:v>23.5762124</x:v>
      </x:c>
      <x:c r="M48" s="17" t="n">
        <x:v>4.395826</x:v>
      </x:c>
      <x:c r="N48" s="18" t="n">
        <x:v>0.999999010765626</x:v>
      </x:c>
      <x:c r="O48" t="str">
        <x:v>TRINITY_DN1689_c0_g1_i2.p1</x:v>
      </x:c>
      <x:c r="P48" t="n">
        <x:v>519</x:v>
      </x:c>
      <x:c r="Q48" t="str">
        <x:v>provisional_HQ_domain</x:v>
      </x:c>
      <x:c r="R48" t="str">
        <x:v>family_defining_domain_detected</x:v>
      </x:c>
      <x:c r="S48" t="str">
        <x:v>IPR002213;PF00201</x:v>
      </x:c>
      <x:c r="T48" t="str">
        <x:v>UDP-glucoronosyl and UDP-glucosyl transferase;UDP-glucuronosyl/UDP-glucosyltransferase</x:v>
      </x:c>
      <x:c r="U48"/>
      <x:c r="V48"/>
      <x:c r="W48"/>
      <x:c r="X48"/>
      <x:c r="Y48" s="15" t="b">
        <x:v>1</x:v>
      </x:c>
      <x:c r="Z48" s="15" t="b">
        <x:v>0</x:v>
      </x:c>
      <x:c r="AA48" s="15" t="b">
        <x:v>1</x:v>
      </x:c>
      <x:c r="AB48" s="15" t="b">
        <x:v>1</x:v>
      </x:c>
      <x:c r="AC48" t="str">
        <x:v>Spodoptera|XP_050559575.1</x:v>
      </x:c>
      <x:c r="AD48" s="19" t="n">
        <x:v>0</x:v>
      </x:c>
      <x:c r="AE48" t="n">
        <x:v>727</x:v>
      </x:c>
      <x:c r="AF48" t="n">
        <x:v>67.761</x:v>
      </x:c>
      <x:c r="AG48" t="n">
        <x:v>100</x:v>
      </x:c>
      <x:c r="AH48" t="n">
        <x:v>99.6154</x:v>
      </x:c>
      <x:c r="AI48" t="str">
        <x:v>sp|A0A291PQF1|UGT5_DACCO</x:v>
      </x:c>
      <x:c r="AJ48" t="str">
        <x:v>sp|A0A291PQF1|UGT5_DACCO UDP-glycosyltransferase UGT5 OS=Dactylopius coccus OX=765876 GN=UGT5 PE=1 SV=1</x:v>
      </x:c>
      <x:c r="AK48" s="19" t="n">
        <x:v>6.16e-58</x:v>
      </x:c>
      <x:c r="AL48" t="n">
        <x:v>204</x:v>
      </x:c>
      <x:c r="AM48" t="n">
        <x:v>29.4</x:v>
      </x:c>
      <x:c r="AN48" t="n">
        <x:v>98.45559845559846</x:v>
      </x:c>
      <x:c r="AO48" t="n">
        <x:v>96.95817490494296</x:v>
      </x:c>
      <x:c r="AP48" t="n">
        <x:v>0</x:v>
      </x:c>
      <x:c r="AQ48" t="n">
        <x:v>0</x:v>
      </x:c>
      <x:c r="AR48" t="str">
        <x:v>UGT_C001</x:v>
      </x:c>
      <x:c r="AS48" t="n">
        <x:v>15</x:v>
      </x:c>
      <x:c r="AT48" s="17" t="n">
        <x:f>AVERAGE(E48:G48)</x:f>
        <x:v>21.491085333333334</x:v>
      </x:c>
      <x:c r="AU48" s="17" t="n">
        <x:f>STDEV.S(E48:G48)</x:f>
        <x:v>12.104217454149458</x:v>
      </x:c>
      <x:c r="AV48" s="17" t="n">
        <x:f>AVERAGE(H48:J48)</x:f>
        <x:v>27.78768033333333</x:v>
      </x:c>
      <x:c r="AW48" s="17" t="n">
        <x:f>STDEV.S(H48:J48)</x:f>
        <x:v>7.7589751708716195</x:v>
      </x:c>
      <x:c r="AX48" s="17" t="n">
        <x:f>AV48-AT48</x:f>
        <x:v>6.296594999999996</x:v>
      </x:c>
      <x:c r="AY48" s="17" t="n">
        <x:f>LOG((AV48+1)/(AT48+1),2)</x:f>
        <x:v>0.35609826174098375</x:v>
      </x:c>
      <x:c r="AZ48" s="17" t="n">
        <x:f>AVERAGE(E48:J48)</x:f>
        <x:v>24.639382833333332</x:v>
      </x:c>
      <x:c r="BA48" s="17" t="n">
        <x:f>MAX(E48:J48)</x:f>
        <x:v>35.437479999999994</x:v>
      </x:c>
      <x:c r="BB48" s="20" t="n">
        <x:f>IF(Q48="provisional_HQ_domain",2,0)+IF(Y48,1,0)+IF(AB48,1,0)+IF(AI48&lt;&gt;"",1,0)+IF(AP48+AQ48&gt;0,1,0)</x:f>
        <x:v>5</x:v>
      </x:c>
      <x:c r="BC48" t="str">
        <x:f>IF(OR(ISNUMBER(SEARCH("exclude",U48)),ISNUMBER(SEARCH("hold",U48)),ISNUMBER(SEARCH("hold",W48))),"Review",IF(BB48&gt;=5,"Strong multi-evidence",IF(BB48&gt;=3,"Supported","Weak/inspect")))</x:f>
        <x:v>Strong multi-evidence</x:v>
      </x:c>
    </x:row>
    <x:row r="49">
      <x:c r="A49" t="str">
        <x:v>UGT</x:v>
      </x:c>
      <x:c r="B49" t="str">
        <x:v>TRINITY_DN1689_c0_g2</x:v>
      </x:c>
      <x:c r="C49" t="str">
        <x:v>yes</x:v>
      </x:c>
      <x:c r="D49" t="n">
        <x:v>1</x:v>
      </x:c>
      <x:c r="E49" s="17" t="n">
        <x:v>2.129996</x:v>
      </x:c>
      <x:c r="F49" s="17" t="n">
        <x:v>5.287048</x:v>
      </x:c>
      <x:c r="G49" s="17" t="n">
        <x:v>2.54413</x:v>
      </x:c>
      <x:c r="H49" s="17" t="n">
        <x:v>5.08407</x:v>
      </x:c>
      <x:c r="I49" s="17" t="n">
        <x:v>7.978708</x:v>
      </x:c>
      <x:c r="J49" s="17" t="n">
        <x:v>3.531019</x:v>
      </x:c>
      <x:c r="K49" s="17" t="n">
        <x:v>2.9364888000000002</x:v>
      </x:c>
      <x:c r="L49" s="17" t="n">
        <x:v>4.793631400000001</x:v>
      </x:c>
      <x:c r="M49" s="17" t="n">
        <x:v>1.8571426000000004</x:v>
      </x:c>
      <x:c r="N49" s="18" t="n">
        <x:v>0.999999010765626</x:v>
      </x:c>
      <x:c r="O49" t="str">
        <x:v>TRINITY_DN1689_c0_g2_i1.p1</x:v>
      </x:c>
      <x:c r="P49" t="n">
        <x:v>475</x:v>
      </x:c>
      <x:c r="Q49" t="str">
        <x:v>provisional_HQ_domain</x:v>
      </x:c>
      <x:c r="R49" t="str">
        <x:v>family_defining_domain_detected</x:v>
      </x:c>
      <x:c r="S49" t="str">
        <x:v>IPR002213;PF00201</x:v>
      </x:c>
      <x:c r="T49" t="str">
        <x:v>UDP-glucoronosyl and UDP-glucosyl transferase;UDP-glucuronosyl/UDP-glucosyltransferase</x:v>
      </x:c>
      <x:c r="U49"/>
      <x:c r="V49"/>
      <x:c r="W49"/>
      <x:c r="X49"/>
      <x:c r="Y49" s="15" t="b">
        <x:v>1</x:v>
      </x:c>
      <x:c r="Z49" s="15" t="b">
        <x:v>0</x:v>
      </x:c>
      <x:c r="AA49" s="15" t="b">
        <x:v>1</x:v>
      </x:c>
      <x:c r="AB49" s="15" t="b">
        <x:v>1</x:v>
      </x:c>
      <x:c r="AC49" t="str">
        <x:v>Spodoptera|XP_050559575.1</x:v>
      </x:c>
      <x:c r="AD49" s="19" t="n">
        <x:v>0</x:v>
      </x:c>
      <x:c r="AE49" t="n">
        <x:v>727</x:v>
      </x:c>
      <x:c r="AF49" t="n">
        <x:v>72.059</x:v>
      </x:c>
      <x:c r="AG49" t="n">
        <x:v>100.211</x:v>
      </x:c>
      <x:c r="AH49" t="n">
        <x:v>91.5385</x:v>
      </x:c>
      <x:c r="AI49" t="str">
        <x:v>sp|A0A291PQH4|UGT2_DACCO</x:v>
      </x:c>
      <x:c r="AJ49" t="str">
        <x:v>sp|A0A291PQH4|UGT2_DACCO UDP-glucosyltransferase 2 OS=Dactylopius coccus OX=765876 GN=UTG2 PE=1 SV=1</x:v>
      </x:c>
      <x:c r="AK49" s="19" t="n">
        <x:v>6.49e-59</x:v>
      </x:c>
      <x:c r="AL49" t="n">
        <x:v>205</x:v>
      </x:c>
      <x:c r="AM49" t="n">
        <x:v>31.1</x:v>
      </x:c>
      <x:c r="AN49" t="n">
        <x:v>96</x:v>
      </x:c>
      <x:c r="AO49" t="n">
        <x:v>88.54368932038835</x:v>
      </x:c>
      <x:c r="AP49" t="n">
        <x:v>0</x:v>
      </x:c>
      <x:c r="AQ49" t="n">
        <x:v>0</x:v>
      </x:c>
      <x:c r="AR49" t="str">
        <x:v>UGT_C001</x:v>
      </x:c>
      <x:c r="AS49" t="n">
        <x:v>15</x:v>
      </x:c>
      <x:c r="AT49" s="17" t="n">
        <x:f>AVERAGE(E49:G49)</x:f>
        <x:v>3.3203913333333333</x:v>
      </x:c>
      <x:c r="AU49" s="17" t="n">
        <x:f>STDEV.S(E49:G49)</x:f>
        <x:v>1.7157157619772962</x:v>
      </x:c>
      <x:c r="AV49" s="17" t="n">
        <x:f>AVERAGE(H49:J49)</x:f>
        <x:v>5.531265666666666</x:v>
      </x:c>
      <x:c r="AW49" s="17" t="n">
        <x:f>STDEV.S(H49:J49)</x:f>
        <x:v>2.2573152933062617</x:v>
      </x:c>
      <x:c r="AX49" s="17" t="n">
        <x:f>AV49-AT49</x:f>
        <x:v>2.210874333333333</x:v>
      </x:c>
      <x:c r="AY49" s="17" t="n">
        <x:f>LOG((AV49+1)/(AT49+1),2)</x:f>
        <x:v>0.5962005976557253</x:v>
      </x:c>
      <x:c r="AZ49" s="17" t="n">
        <x:f>AVERAGE(E49:J49)</x:f>
        <x:v>4.425828500000001</x:v>
      </x:c>
      <x:c r="BA49" s="17" t="n">
        <x:f>MAX(E49:J49)</x:f>
        <x:v>7.978708</x:v>
      </x:c>
      <x:c r="BB49" s="20" t="n">
        <x:f>IF(Q49="provisional_HQ_domain",2,0)+IF(Y49,1,0)+IF(AB49,1,0)+IF(AI49&lt;&gt;"",1,0)+IF(AP49+AQ49&gt;0,1,0)</x:f>
        <x:v>5</x:v>
      </x:c>
      <x:c r="BC49" t="str">
        <x:f>IF(OR(ISNUMBER(SEARCH("exclude",U49)),ISNUMBER(SEARCH("hold",U49)),ISNUMBER(SEARCH("hold",W49))),"Review",IF(BB49&gt;=5,"Strong multi-evidence",IF(BB49&gt;=3,"Supported","Weak/inspect")))</x:f>
        <x:v>Strong multi-evidence</x:v>
      </x:c>
    </x:row>
    <x:row r="50">
      <x:c r="A50" t="str">
        <x:v>UGT</x:v>
      </x:c>
      <x:c r="B50" t="str">
        <x:v>TRINITY_DN1689_c1_g1</x:v>
      </x:c>
      <x:c r="C50" t="str">
        <x:v>yes</x:v>
      </x:c>
      <x:c r="D50" t="n">
        <x:v>8</x:v>
      </x:c>
      <x:c r="E50" s="17" t="n">
        <x:v>3.755762</x:v>
      </x:c>
      <x:c r="F50" s="17" t="n">
        <x:v>34.745565</x:v>
      </x:c>
      <x:c r="G50" s="17" t="n">
        <x:v>98.791162</x:v>
      </x:c>
      <x:c r="H50" s="17" t="n">
        <x:v>11.957431</x:v>
      </x:c>
      <x:c r="I50" s="17" t="n">
        <x:v>57.602584</x:v>
      </x:c>
      <x:c r="J50" s="17" t="n">
        <x:v>21.360155</x:v>
      </x:c>
      <x:c r="K50" s="17" t="n">
        <x:v>44.54200248</x:v>
      </x:c>
      <x:c r="L50" s="17" t="n">
        <x:v>28.43074128</x:v>
      </x:c>
      <x:c r="M50" s="17" t="n">
        <x:v>-16.1112612</x:v>
      </x:c>
      <x:c r="N50" s="18" t="n">
        <x:v>0.0172533878476727</x:v>
      </x:c>
      <x:c r="O50" t="str">
        <x:v>TRINITY_DN1689_c1_g1_i4.p1</x:v>
      </x:c>
      <x:c r="P50" t="n">
        <x:v>518</x:v>
      </x:c>
      <x:c r="Q50" t="str">
        <x:v>provisional_HQ_domain</x:v>
      </x:c>
      <x:c r="R50" t="str">
        <x:v>family_defining_domain_detected</x:v>
      </x:c>
      <x:c r="S50" t="str">
        <x:v>IPR002213;PF00201</x:v>
      </x:c>
      <x:c r="T50" t="str">
        <x:v>UDP-glucoronosyl and UDP-glucosyl transferase;UDP-glucuronosyl/UDP-glucosyltransferase</x:v>
      </x:c>
      <x:c r="U50"/>
      <x:c r="V50"/>
      <x:c r="W50"/>
      <x:c r="X50"/>
      <x:c r="Y50" s="15" t="b">
        <x:v>1</x:v>
      </x:c>
      <x:c r="Z50" s="15" t="b">
        <x:v>0</x:v>
      </x:c>
      <x:c r="AA50" s="15" t="b">
        <x:v>1</x:v>
      </x:c>
      <x:c r="AB50" s="15" t="b">
        <x:v>1</x:v>
      </x:c>
      <x:c r="AC50" t="str">
        <x:v>Spodoptera|XP_050559578.1</x:v>
      </x:c>
      <x:c r="AD50" s="19" t="n">
        <x:v>0</x:v>
      </x:c>
      <x:c r="AE50" t="n">
        <x:v>711</x:v>
      </x:c>
      <x:c r="AF50" t="n">
        <x:v>64.535</x:v>
      </x:c>
      <x:c r="AG50" t="n">
        <x:v>99.8066</x:v>
      </x:c>
      <x:c r="AH50" t="n">
        <x:v>100.389</x:v>
      </x:c>
      <x:c r="AI50" t="str">
        <x:v>sp|A0A291PQH4|UGT2_DACCO</x:v>
      </x:c>
      <x:c r="AJ50" t="str">
        <x:v>sp|A0A291PQH4|UGT2_DACCO UDP-glucosyltransferase 2 OS=Dactylopius coccus OX=765876 GN=UTG2 PE=1 SV=1</x:v>
      </x:c>
      <x:c r="AK50" s="19" t="n">
        <x:v>2.76e-65</x:v>
      </x:c>
      <x:c r="AL50" t="n">
        <x:v>223</x:v>
      </x:c>
      <x:c r="AM50" t="n">
        <x:v>27.8</x:v>
      </x:c>
      <x:c r="AN50" t="n">
        <x:v>100.77369439071566</x:v>
      </x:c>
      <x:c r="AO50" t="n">
        <x:v>101.16504854368932</x:v>
      </x:c>
      <x:c r="AP50" t="n">
        <x:v>0</x:v>
      </x:c>
      <x:c r="AQ50" t="n">
        <x:v>0</x:v>
      </x:c>
      <x:c r="AR50" t="str">
        <x:v>UGT_C001</x:v>
      </x:c>
      <x:c r="AS50" t="n">
        <x:v>15</x:v>
      </x:c>
      <x:c r="AT50" s="17" t="n">
        <x:f>AVERAGE(E50:G50)</x:f>
        <x:v>45.764162999999996</x:v>
      </x:c>
      <x:c r="AU50" s="17" t="n">
        <x:f>STDEV.S(E50:G50)</x:f>
        <x:v>48.46636916155576</x:v>
      </x:c>
      <x:c r="AV50" s="17" t="n">
        <x:f>AVERAGE(H50:J50)</x:f>
        <x:v>30.306723333333327</x:v>
      </x:c>
      <x:c r="AW50" s="17" t="n">
        <x:f>STDEV.S(H50:J50)</x:f>
        <x:v>24.101883988717653</x:v>
      </x:c>
      <x:c r="AX50" s="17" t="n">
        <x:f>AV50-AT50</x:f>
        <x:v>-15.45743966666667</x:v>
      </x:c>
      <x:c r="AY50" s="17" t="n">
        <x:f>LOG((AV50+1)/(AT50+1),2)</x:f>
        <x:v>-0.5789308468951521</x:v>
      </x:c>
      <x:c r="AZ50" s="17" t="n">
        <x:f>AVERAGE(E50:J50)</x:f>
        <x:v>38.03544316666666</x:v>
      </x:c>
      <x:c r="BA50" s="17" t="n">
        <x:f>MAX(E50:J50)</x:f>
        <x:v>98.791162</x:v>
      </x:c>
      <x:c r="BB50" s="20" t="n">
        <x:f>IF(Q50="provisional_HQ_domain",2,0)+IF(Y50,1,0)+IF(AB50,1,0)+IF(AI50&lt;&gt;"",1,0)+IF(AP50+AQ50&gt;0,1,0)</x:f>
        <x:v>5</x:v>
      </x:c>
      <x:c r="BC50" t="str">
        <x:f>IF(OR(ISNUMBER(SEARCH("exclude",U50)),ISNUMBER(SEARCH("hold",U50)),ISNUMBER(SEARCH("hold",W50))),"Review",IF(BB50&gt;=5,"Strong multi-evidence",IF(BB50&gt;=3,"Supported","Weak/inspect")))</x:f>
        <x:v>Strong multi-evidence</x:v>
      </x:c>
    </x:row>
    <x:row r="51">
      <x:c r="A51" t="str">
        <x:v>UGT</x:v>
      </x:c>
      <x:c r="B51" t="str">
        <x:v>TRINITY_DN17113_c0_g1</x:v>
      </x:c>
      <x:c r="C51" t="str">
        <x:v>yes</x:v>
      </x:c>
      <x:c r="D51" t="n">
        <x:v>7</x:v>
      </x:c>
      <x:c r="E51" s="17" t="n">
        <x:v>9.654888</x:v>
      </x:c>
      <x:c r="F51" s="17" t="n">
        <x:v>29.005478999999998</x:v>
      </x:c>
      <x:c r="G51" s="17" t="n">
        <x:v>2.489756</x:v>
      </x:c>
      <x:c r="H51" s="17" t="n">
        <x:v>12.190077</x:v>
      </x:c>
      <x:c r="I51" s="17" t="n">
        <x:v>9.98659</x:v>
      </x:c>
      <x:c r="J51" s="17" t="n">
        <x:v>5.387942</x:v>
      </x:c>
      <x:c r="K51" s="17" t="n">
        <x:v>13.304594079999998</x:v>
      </x:c>
      <x:c r="L51" s="17" t="n">
        <x:v>8.16481936</x:v>
      </x:c>
      <x:c r="M51" s="17" t="n">
        <x:v>-5.139774719999998</x:v>
      </x:c>
      <x:c r="N51" s="18" t="n">
        <x:v>0.970862622007033</x:v>
      </x:c>
      <x:c r="O51" t="str">
        <x:v>TRINITY_DN17113_c0_g1_i16.p1</x:v>
      </x:c>
      <x:c r="P51" t="n">
        <x:v>511</x:v>
      </x:c>
      <x:c r="Q51" t="str">
        <x:v>provisional_HQ_domain</x:v>
      </x:c>
      <x:c r="R51" t="str">
        <x:v>family_defining_domain_detected</x:v>
      </x:c>
      <x:c r="S51" t="str">
        <x:v>IPR002213;PF00201</x:v>
      </x:c>
      <x:c r="T51" t="str">
        <x:v>UDP-glucoronosyl and UDP-glucosyl transferase;UDP-glucuronosyl/UDP-glucosyltransferase</x:v>
      </x:c>
      <x:c r="U51"/>
      <x:c r="V51"/>
      <x:c r="W51"/>
      <x:c r="X51"/>
      <x:c r="Y51" s="15" t="b">
        <x:v>1</x:v>
      </x:c>
      <x:c r="Z51" s="15" t="b">
        <x:v>0</x:v>
      </x:c>
      <x:c r="AA51" s="15" t="b">
        <x:v>1</x:v>
      </x:c>
      <x:c r="AB51" s="15" t="b">
        <x:v>1</x:v>
      </x:c>
      <x:c r="AC51" t="str">
        <x:v>Spodoptera|XP_035458622.2</x:v>
      </x:c>
      <x:c r="AD51" s="19" t="n">
        <x:v>0</x:v>
      </x:c>
      <x:c r="AE51" t="n">
        <x:v>810</x:v>
      </x:c>
      <x:c r="AF51" t="n">
        <x:v>76.078</x:v>
      </x:c>
      <x:c r="AG51" t="n">
        <x:v>100</x:v>
      </x:c>
      <x:c r="AH51" t="n">
        <x:v>100.394</x:v>
      </x:c>
      <x:c r="AI51" t="str">
        <x:v>sp|A0A291PQF1|UGT5_DACCO</x:v>
      </x:c>
      <x:c r="AJ51" t="str">
        <x:v>sp|A0A291PQF1|UGT5_DACCO UDP-glycosyltransferase UGT5 OS=Dactylopius coccus OX=765876 GN=UGT5 PE=1 SV=1</x:v>
      </x:c>
      <x:c r="AK51" s="19" t="n">
        <x:v>3.36e-96</x:v>
      </x:c>
      <x:c r="AL51" t="n">
        <x:v>304</x:v>
      </x:c>
      <x:c r="AM51" t="n">
        <x:v>36.2</x:v>
      </x:c>
      <x:c r="AN51" t="n">
        <x:v>100.19607843137256</x:v>
      </x:c>
      <x:c r="AO51" t="n">
        <x:v>97.14828897338403</x:v>
      </x:c>
      <x:c r="AP51" t="n">
        <x:v>0</x:v>
      </x:c>
      <x:c r="AQ51" t="n">
        <x:v>0</x:v>
      </x:c>
      <x:c r="AR51" t="str">
        <x:v>UGT_C001</x:v>
      </x:c>
      <x:c r="AS51" t="n">
        <x:v>15</x:v>
      </x:c>
      <x:c r="AT51" s="17" t="n">
        <x:f>AVERAGE(E51:G51)</x:f>
        <x:v>13.716707666666665</x:v>
      </x:c>
      <x:c r="AU51" s="17" t="n">
        <x:f>STDEV.S(E51:G51)</x:f>
        <x:v>13.71658397001864</x:v>
      </x:c>
      <x:c r="AV51" s="17" t="n">
        <x:f>AVERAGE(H51:J51)</x:f>
        <x:v>9.188203</x:v>
      </x:c>
      <x:c r="AW51" s="17" t="n">
        <x:f>STDEV.S(H51:J51)</x:f>
        <x:v>3.470637764285262</x:v>
      </x:c>
      <x:c r="AX51" s="17" t="n">
        <x:f>AV51-AT51</x:f>
        <x:v>-4.528504666666665</x:v>
      </x:c>
      <x:c r="AY51" s="17" t="n">
        <x:f>LOG((AV51+1)/(AT51+1),2)</x:f>
        <x:v>-0.5305553457156457</x:v>
      </x:c>
      <x:c r="AZ51" s="17" t="n">
        <x:f>AVERAGE(E51:J51)</x:f>
        <x:v>11.452455333333333</x:v>
      </x:c>
      <x:c r="BA51" s="17" t="n">
        <x:f>MAX(E51:J51)</x:f>
        <x:v>29.005478999999998</x:v>
      </x:c>
      <x:c r="BB51" s="20" t="n">
        <x:f>IF(Q51="provisional_HQ_domain",2,0)+IF(Y51,1,0)+IF(AB51,1,0)+IF(AI51&lt;&gt;"",1,0)+IF(AP51+AQ51&gt;0,1,0)</x:f>
        <x:v>5</x:v>
      </x:c>
      <x:c r="BC51" t="str">
        <x:f>IF(OR(ISNUMBER(SEARCH("exclude",U51)),ISNUMBER(SEARCH("hold",U51)),ISNUMBER(SEARCH("hold",W51))),"Review",IF(BB51&gt;=5,"Strong multi-evidence",IF(BB51&gt;=3,"Supported","Weak/inspect")))</x:f>
        <x:v>Strong multi-evidence</x:v>
      </x:c>
    </x:row>
    <x:row r="52">
      <x:c r="A52" t="str">
        <x:v>UGT</x:v>
      </x:c>
      <x:c r="B52" t="str">
        <x:v>TRINITY_DN18424_c0_g1</x:v>
      </x:c>
      <x:c r="C52" t="str">
        <x:v>yes</x:v>
      </x:c>
      <x:c r="D52" t="n">
        <x:v>1</x:v>
      </x:c>
      <x:c r="E52" s="17" t="n">
        <x:v>0.368825</x:v>
      </x:c>
      <x:c r="F52" s="17" t="n">
        <x:v>0.093295</x:v>
      </x:c>
      <x:c r="G52" s="17" t="n">
        <x:v>0.182206</x:v>
      </x:c>
      <x:c r="H52" s="17" t="n">
        <x:v>0.083295</x:v>
      </x:c>
      <x:c r="I52" s="17" t="n">
        <x:v>0.255039</x:v>
      </x:c>
      <x:c r="J52" s="17" t="n">
        <x:v>0.277485</x:v>
      </x:c>
      <x:c r="K52" s="17" t="n">
        <x:v>0.1947838</x:v>
      </x:c>
      <x:c r="L52" s="17" t="n">
        <x:v>0.18156578</x:v>
      </x:c>
      <x:c r="M52" s="17" t="n">
        <x:v>-0.013218019999999997</x:v>
      </x:c>
      <x:c r="N52" s="18" t="n">
        <x:v>0.999999010765626</x:v>
      </x:c>
      <x:c r="O52" t="str">
        <x:v>TRINITY_DN18424_c0_g1_i1.p1</x:v>
      </x:c>
      <x:c r="P52" t="n">
        <x:v>522</x:v>
      </x:c>
      <x:c r="Q52" t="str">
        <x:v>provisional_HQ_domain</x:v>
      </x:c>
      <x:c r="R52" t="str">
        <x:v>family_defining_domain_detected</x:v>
      </x:c>
      <x:c r="S52" t="str">
        <x:v>IPR002213;PF00201</x:v>
      </x:c>
      <x:c r="T52" t="str">
        <x:v>UDP-glucoronosyl and UDP-glucosyl transferase;UDP-glucuronosyl/UDP-glucosyltransferase</x:v>
      </x:c>
      <x:c r="U52"/>
      <x:c r="V52"/>
      <x:c r="W52"/>
      <x:c r="X52"/>
      <x:c r="Y52" s="15" t="b">
        <x:v>1</x:v>
      </x:c>
      <x:c r="Z52" s="15" t="b">
        <x:v>0</x:v>
      </x:c>
      <x:c r="AA52" s="15" t="b">
        <x:v>1</x:v>
      </x:c>
      <x:c r="AB52" s="15" t="b">
        <x:v>1</x:v>
      </x:c>
      <x:c r="AC52" t="str">
        <x:v>Spodoptera|XP_035440285.2</x:v>
      </x:c>
      <x:c r="AD52" s="19" t="n">
        <x:v>0</x:v>
      </x:c>
      <x:c r="AE52" t="n">
        <x:v>907</x:v>
      </x:c>
      <x:c r="AF52" t="n">
        <x:v>81.538</x:v>
      </x:c>
      <x:c r="AG52" t="n">
        <x:v>99.8081</x:v>
      </x:c>
      <x:c r="AH52" t="n">
        <x:v>99.8081</x:v>
      </x:c>
      <x:c r="AI52" t="str">
        <x:v>sp|A0A291PQF1|UGT5_DACCO</x:v>
      </x:c>
      <x:c r="AJ52" t="str">
        <x:v>sp|A0A291PQF1|UGT5_DACCO UDP-glycosyltransferase UGT5 OS=Dactylopius coccus OX=765876 GN=UGT5 PE=1 SV=1</x:v>
      </x:c>
      <x:c r="AK52" s="19" t="n">
        <x:v>2.65e-91</x:v>
      </x:c>
      <x:c r="AL52" t="n">
        <x:v>291</x:v>
      </x:c>
      <x:c r="AM52" t="n">
        <x:v>32.5</x:v>
      </x:c>
      <x:c r="AN52" t="n">
        <x:v>96.3531669865643</x:v>
      </x:c>
      <x:c r="AO52" t="n">
        <x:v>95.43726235741445</x:v>
      </x:c>
      <x:c r="AP52" t="n">
        <x:v>0</x:v>
      </x:c>
      <x:c r="AQ52" t="n">
        <x:v>0</x:v>
      </x:c>
      <x:c r="AR52" t="str">
        <x:v>UGT_C001</x:v>
      </x:c>
      <x:c r="AS52" t="n">
        <x:v>15</x:v>
      </x:c>
      <x:c r="AT52" s="17" t="n">
        <x:f>AVERAGE(E52:G52)</x:f>
        <x:v>0.21477533333333335</x:v>
      </x:c>
      <x:c r="AU52" s="17" t="n">
        <x:f>STDEV.S(E52:G52)</x:f>
        <x:v>0.14062278026811068</x:v>
      </x:c>
      <x:c r="AV52" s="17" t="n">
        <x:f>AVERAGE(H52:J52)</x:f>
        <x:v>0.205273</x:v>
      </x:c>
      <x:c r="AW52" s="17" t="n">
        <x:f>STDEV.S(H52:J52)</x:f>
        <x:v>0.1062305515941624</x:v>
      </x:c>
      <x:c r="AX52" s="17" t="n">
        <x:f>AV52-AT52</x:f>
        <x:v>-0.009502333333333335</x:v>
      </x:c>
      <x:c r="AY52" s="17" t="n">
        <x:f>LOG((AV52+1)/(AT52+1),2)</x:f>
        <x:v>-0.01132955853908478</x:v>
      </x:c>
      <x:c r="AZ52" s="17" t="n">
        <x:f>AVERAGE(E52:J52)</x:f>
        <x:v>0.21002416666666668</x:v>
      </x:c>
      <x:c r="BA52" s="17" t="n">
        <x:f>MAX(E52:J52)</x:f>
        <x:v>0.368825</x:v>
      </x:c>
      <x:c r="BB52" s="20" t="n">
        <x:f>IF(Q52="provisional_HQ_domain",2,0)+IF(Y52,1,0)+IF(AB52,1,0)+IF(AI52&lt;&gt;"",1,0)+IF(AP52+AQ52&gt;0,1,0)</x:f>
        <x:v>5</x:v>
      </x:c>
      <x:c r="BC52" t="str">
        <x:f>IF(OR(ISNUMBER(SEARCH("exclude",U52)),ISNUMBER(SEARCH("hold",U52)),ISNUMBER(SEARCH("hold",W52))),"Review",IF(BB52&gt;=5,"Strong multi-evidence",IF(BB52&gt;=3,"Supported","Weak/inspect")))</x:f>
        <x:v>Strong multi-evidence</x:v>
      </x:c>
    </x:row>
    <x:row r="53">
      <x:c r="A53" t="str">
        <x:v>UGT</x:v>
      </x:c>
      <x:c r="B53" t="str">
        <x:v>TRINITY_DN20280_c0_g1</x:v>
      </x:c>
      <x:c r="C53" t="str">
        <x:v>no</x:v>
      </x:c>
      <x:c r="D53" t="n">
        <x:v>1</x:v>
      </x:c>
      <x:c r="E53" s="17" t="n">
        <x:v>0.059255</x:v>
      </x:c>
      <x:c r="F53" s="17" t="n">
        <x:v>0.635531</x:v>
      </x:c>
      <x:c r="G53" s="17" t="n">
        <x:v>0.786593</x:v>
      </x:c>
      <x:c r="H53" s="17" t="n">
        <x:v>1.558065</x:v>
      </x:c>
      <x:c r="I53" s="17" t="n">
        <x:v>2.007727</x:v>
      </x:c>
      <x:c r="J53" s="17" t="n">
        <x:v>0.523187</x:v>
      </x:c>
      <x:c r="K53" s="17" t="n">
        <x:v>0.4577129999999999</x:v>
      </x:c>
      <x:c r="L53" s="17" t="n">
        <x:v>1.2147058</x:v>
      </x:c>
      <x:c r="M53" s="17" t="n">
        <x:v>0.7569928</x:v>
      </x:c>
      <x:c r="N53" s="18" t="n">
        <x:v>0.986725128544583</x:v>
      </x:c>
      <x:c r="O53" t="str">
        <x:v>TRINITY_DN20280_c0_g1_i1.p1</x:v>
      </x:c>
      <x:c r="P53" t="n">
        <x:v>135</x:v>
      </x:c>
      <x:c r="Q53" t="str">
        <x:v>provisional_HQ_domain</x:v>
      </x:c>
      <x:c r="R53" t="str">
        <x:v>family_defining_domain_detected</x:v>
      </x:c>
      <x:c r="S53" t="str">
        <x:v>IPR002213;PF00201</x:v>
      </x:c>
      <x:c r="T53" t="str">
        <x:v>UDP-glucoronosyl and UDP-glucosyl transferase;UDP-glucuronosyl/UDP-glucosyltransferase</x:v>
      </x:c>
      <x:c r="U53"/>
      <x:c r="V53"/>
      <x:c r="W53"/>
      <x:c r="X53"/>
      <x:c r="Y53" s="15" t="b">
        <x:v>1</x:v>
      </x:c>
      <x:c r="Z53" s="15" t="b">
        <x:v>0</x:v>
      </x:c>
      <x:c r="AA53" s="15" t="b">
        <x:v>1</x:v>
      </x:c>
      <x:c r="AB53" s="15" t="b">
        <x:v>0</x:v>
      </x:c>
      <x:c r="AC53" t="str">
        <x:v>Spodoptera|XP_035454998.2</x:v>
      </x:c>
      <x:c r="AD53" s="19" t="n">
        <x:v>2.28e-85</x:v>
      </x:c>
      <x:c r="AE53" t="n">
        <x:v>251</x:v>
      </x:c>
      <x:c r="AF53" t="n">
        <x:v>87.407</x:v>
      </x:c>
      <x:c r="AG53" t="n">
        <x:v>100</x:v>
      </x:c>
      <x:c r="AH53" t="n">
        <x:v>25.9117</x:v>
      </x:c>
      <x:c r="AI53" t="str">
        <x:v>sp|Q9GLD9|UDB33_MACMU</x:v>
      </x:c>
      <x:c r="AJ53" t="str">
        <x:v>sp|Q9GLD9|UDB33_MACMU UDP-glucuronosyltransferase 2B33 OS=Macaca mulatta OX=9544 GN=UGT2B33 PE=1 SV=1</x:v>
      </x:c>
      <x:c r="AK53" s="19" t="n">
        <x:v>2.3e-34</x:v>
      </x:c>
      <x:c r="AL53" t="n">
        <x:v>127</x:v>
      </x:c>
      <x:c r="AM53" t="n">
        <x:v>44.4</x:v>
      </x:c>
      <x:c r="AN53" t="n">
        <x:v>100</x:v>
      </x:c>
      <x:c r="AO53" t="n">
        <x:v>25.519848771266542</x:v>
      </x:c>
      <x:c r="AP53" t="n">
        <x:v>0</x:v>
      </x:c>
      <x:c r="AQ53" t="n">
        <x:v>0</x:v>
      </x:c>
      <x:c r="AR53" t="str">
        <x:v>UGT_C002</x:v>
      </x:c>
      <x:c r="AS53" t="n">
        <x:v>7</x:v>
      </x:c>
      <x:c r="AT53" s="17" t="n">
        <x:f>AVERAGE(E53:G53)</x:f>
        <x:v>0.493793</x:v>
      </x:c>
      <x:c r="AU53" s="17" t="n">
        <x:f>STDEV.S(E53:G53)</x:f>
        <x:v>0.38382598536836976</x:v>
      </x:c>
      <x:c r="AV53" s="17" t="n">
        <x:f>AVERAGE(H53:J53)</x:f>
        <x:v>1.3629930000000001</x:v>
      </x:c>
      <x:c r="AW53" s="17" t="n">
        <x:f>STDEV.S(H53:J53)</x:f>
        <x:v>0.7612519732572127</x:v>
      </x:c>
      <x:c r="AX53" s="17" t="n">
        <x:f>AV53-AT53</x:f>
        <x:v>0.8692000000000002</x:v>
      </x:c>
      <x:c r="AY53" s="17" t="n">
        <x:f>LOG((AV53+1)/(AT53+1),2)</x:f>
        <x:v>0.6616351127615557</x:v>
      </x:c>
      <x:c r="AZ53" s="17" t="n">
        <x:f>AVERAGE(E53:J53)</x:f>
        <x:v>0.9283930000000001</x:v>
      </x:c>
      <x:c r="BA53" s="17" t="n">
        <x:f>MAX(E53:J53)</x:f>
        <x:v>2.007727</x:v>
      </x:c>
      <x:c r="BB53" s="20" t="n">
        <x:f>IF(Q53="provisional_HQ_domain",2,0)+IF(Y53,1,0)+IF(AB53,1,0)+IF(AI53&lt;&gt;"",1,0)+IF(AP53+AQ53&gt;0,1,0)</x:f>
        <x:v>4</x:v>
      </x:c>
      <x:c r="BC53" t="str">
        <x:f>IF(OR(ISNUMBER(SEARCH("exclude",U53)),ISNUMBER(SEARCH("hold",U53)),ISNUMBER(SEARCH("hold",W53))),"Review",IF(BB53&gt;=5,"Strong multi-evidence",IF(BB53&gt;=3,"Supported","Weak/inspect")))</x:f>
        <x:v>Supported</x:v>
      </x:c>
    </x:row>
    <x:row r="54">
      <x:c r="A54" t="str">
        <x:v>UGT</x:v>
      </x:c>
      <x:c r="B54" t="str">
        <x:v>TRINITY_DN20280_c1_g1</x:v>
      </x:c>
      <x:c r="C54" t="str">
        <x:v>no</x:v>
      </x:c>
      <x:c r="D54" t="n">
        <x:v>5</x:v>
      </x:c>
      <x:c r="E54" s="17" t="n">
        <x:v>5.658831</x:v>
      </x:c>
      <x:c r="F54" s="17" t="n">
        <x:v>9.306498000000001</x:v>
      </x:c>
      <x:c r="G54" s="17" t="n">
        <x:v>4.218475</x:v>
      </x:c>
      <x:c r="H54" s="17" t="n">
        <x:v>3.370591</x:v>
      </x:c>
      <x:c r="I54" s="17" t="n">
        <x:v>2.78133</x:v>
      </x:c>
      <x:c r="J54" s="17" t="n">
        <x:v>1.9501959999999998</x:v>
      </x:c>
      <x:c r="K54" s="17" t="n">
        <x:v>5.76834356</x:v>
      </x:c>
      <x:c r="L54" s="17" t="n">
        <x:v>2.31758806</x:v>
      </x:c>
      <x:c r="M54" s="17" t="n">
        <x:v>-3.4507555</x:v>
      </x:c>
      <x:c r="N54" s="18" t="n">
        <x:v>0.196840109634686</x:v>
      </x:c>
      <x:c r="O54" t="str">
        <x:v>TRINITY_DN20280_c1_g1_i3.p1</x:v>
      </x:c>
      <x:c r="P54" t="n">
        <x:v>186</x:v>
      </x:c>
      <x:c r="Q54" t="str">
        <x:v>provisional_HQ_domain</x:v>
      </x:c>
      <x:c r="R54" t="str">
        <x:v>family_defining_domain_detected</x:v>
      </x:c>
      <x:c r="S54" t="str">
        <x:v>IPR002213;PF00201</x:v>
      </x:c>
      <x:c r="T54" t="str">
        <x:v>UDP-glucoronosyl and UDP-glucosyl transferase;UDP-glucuronosyl/UDP-glucosyltransferase</x:v>
      </x:c>
      <x:c r="U54"/>
      <x:c r="V54"/>
      <x:c r="W54"/>
      <x:c r="X54"/>
      <x:c r="Y54" s="15" t="b">
        <x:v>1</x:v>
      </x:c>
      <x:c r="Z54" s="15" t="b">
        <x:v>0</x:v>
      </x:c>
      <x:c r="AA54" s="15" t="b">
        <x:v>1</x:v>
      </x:c>
      <x:c r="AB54" s="15" t="b">
        <x:v>0</x:v>
      </x:c>
      <x:c r="AC54" t="str">
        <x:v>Spodoptera|XP_035454584.2</x:v>
      </x:c>
      <x:c r="AD54" s="19" t="n">
        <x:v>1.62e-93</x:v>
      </x:c>
      <x:c r="AE54" t="n">
        <x:v>275</x:v>
      </x:c>
      <x:c r="AF54" t="n">
        <x:v>70.968</x:v>
      </x:c>
      <x:c r="AG54" t="n">
        <x:v>100.541</x:v>
      </x:c>
      <x:c r="AH54" t="n">
        <x:v>35.9073</x:v>
      </x:c>
      <x:c r="AI54" t="str">
        <x:v>sp|Q9GLD9|UDB33_MACMU</x:v>
      </x:c>
      <x:c r="AJ54" t="str">
        <x:v>sp|Q9GLD9|UDB33_MACMU UDP-glucuronosyltransferase 2B33 OS=Macaca mulatta OX=9544 GN=UGT2B33 PE=1 SV=1</x:v>
      </x:c>
      <x:c r="AK54" s="19" t="n">
        <x:v>3.98e-38</x:v>
      </x:c>
      <x:c r="AL54" t="n">
        <x:v>140</x:v>
      </x:c>
      <x:c r="AM54" t="n">
        <x:v>44.1</x:v>
      </x:c>
      <x:c r="AN54" t="n">
        <x:v>78.37837837837837</x:v>
      </x:c>
      <x:c r="AO54" t="n">
        <x:v>27.410207939508506</x:v>
      </x:c>
      <x:c r="AP54" t="n">
        <x:v>0</x:v>
      </x:c>
      <x:c r="AQ54" t="n">
        <x:v>0</x:v>
      </x:c>
      <x:c r="AR54" t="str">
        <x:v>UGT_C002</x:v>
      </x:c>
      <x:c r="AS54" t="n">
        <x:v>7</x:v>
      </x:c>
      <x:c r="AT54" s="17" t="n">
        <x:f>AVERAGE(E54:G54)</x:f>
        <x:v>6.394601333333334</x:v>
      </x:c>
      <x:c r="AU54" s="17" t="n">
        <x:f>STDEV.S(E54:G54)</x:f>
        <x:v>2.622596613986287</x:v>
      </x:c>
      <x:c r="AV54" s="17" t="n">
        <x:f>AVERAGE(H54:J54)</x:f>
        <x:v>2.7007056666666664</x:v>
      </x:c>
      <x:c r="AW54" s="17" t="n">
        <x:f>STDEV.S(H54:J54)</x:f>
        <x:v>0.7136215392982008</x:v>
      </x:c>
      <x:c r="AX54" s="17" t="n">
        <x:f>AV54-AT54</x:f>
        <x:v>-3.6938956666666676</x:v>
      </x:c>
      <x:c r="AY54" s="17" t="n">
        <x:f>LOG((AV54+1)/(AT54+1),2)</x:f>
        <x:v>-0.9986719727613723</x:v>
      </x:c>
      <x:c r="AZ54" s="17" t="n">
        <x:f>AVERAGE(E54:J54)</x:f>
        <x:v>4.5476535</x:v>
      </x:c>
      <x:c r="BA54" s="17" t="n">
        <x:f>MAX(E54:J54)</x:f>
        <x:v>9.306498000000001</x:v>
      </x:c>
      <x:c r="BB54" s="20" t="n">
        <x:f>IF(Q54="provisional_HQ_domain",2,0)+IF(Y54,1,0)+IF(AB54,1,0)+IF(AI54&lt;&gt;"",1,0)+IF(AP54+AQ54&gt;0,1,0)</x:f>
        <x:v>4</x:v>
      </x:c>
      <x:c r="BC54" t="str">
        <x:f>IF(OR(ISNUMBER(SEARCH("exclude",U54)),ISNUMBER(SEARCH("hold",U54)),ISNUMBER(SEARCH("hold",W54))),"Review",IF(BB54&gt;=5,"Strong multi-evidence",IF(BB54&gt;=3,"Supported","Weak/inspect")))</x:f>
        <x:v>Supported</x:v>
      </x:c>
    </x:row>
    <x:row r="55">
      <x:c r="A55" t="str">
        <x:v>UGT</x:v>
      </x:c>
      <x:c r="B55" t="str">
        <x:v>TRINITY_DN21024_c0_g1</x:v>
      </x:c>
      <x:c r="C55" t="str">
        <x:v>no</x:v>
      </x:c>
      <x:c r="D55" t="n">
        <x:v>3</x:v>
      </x:c>
      <x:c r="E55" s="17" t="n">
        <x:v>0.21420499999999998</x:v>
      </x:c>
      <x:c r="F55" s="17" t="n">
        <x:v>0.121119</x:v>
      </x:c>
      <x:c r="G55" s="17" t="n">
        <x:v>0.037355</x:v>
      </x:c>
      <x:c r="H55" s="17" t="n">
        <x:v>0.281326</x:v>
      </x:c>
      <x:c r="I55" s="17" t="n">
        <x:v>0.056718</x:v>
      </x:c>
      <x:c r="J55" s="17" t="n">
        <x:v>0.096835</x:v>
      </x:c>
      <x:c r="K55" s="17" t="n">
        <x:v>0.12194452</x:v>
      </x:c>
      <x:c r="L55" s="17" t="n">
        <x:v>0.14691198</x:v>
      </x:c>
      <x:c r="M55" s="17" t="n">
        <x:v>0.024967459999999997</x:v>
      </x:c>
      <x:c r="N55" s="18" t="n">
        <x:v>0.999999010765626</x:v>
      </x:c>
      <x:c r="O55" t="str">
        <x:v>TRINITY_DN21024_c0_g1_i1.p1</x:v>
      </x:c>
      <x:c r="P55" t="n">
        <x:v>323</x:v>
      </x:c>
      <x:c r="Q55" t="str">
        <x:v>review</x:v>
      </x:c>
      <x:c r="R55" t="str">
        <x:v>no_family_defining_domain_in_current_core_table</x:v>
      </x:c>
      <x:c r="S55" t="str">
        <x:v>PF13896</x:v>
      </x:c>
      <x:c r="T55" t="str">
        <x:v>Glycosyl-transferase for dystroglycan</x:v>
      </x:c>
      <x:c r="U55" t="str">
        <x:v>exclude_from_canonical_UGT</x:v>
      </x:c>
      <x:c r="V55" t="str">
        <x:v>alternative domain architecture; PF00201/IPR002213 absent</x:v>
      </x:c>
      <x:c r="W55"/>
      <x:c r="X55"/>
      <x:c r="Y55" s="15" t="b">
        <x:v>1</x:v>
      </x:c>
      <x:c r="Z55" s="15" t="b">
        <x:v>0</x:v>
      </x:c>
      <x:c r="AA55" s="15" t="b">
        <x:v>1</x:v>
      </x:c>
      <x:c r="AB55" s="15" t="b">
        <x:v>1</x:v>
      </x:c>
      <x:c r="AC55" t="str">
        <x:v>Bmori|XP_021203793.2</x:v>
      </x:c>
      <x:c r="AD55" s="19" t="n">
        <x:v>0</x:v>
      </x:c>
      <x:c r="AE55" t="n">
        <x:v>617</x:v>
      </x:c>
      <x:c r="AF55" t="n">
        <x:v>90</x:v>
      </x:c>
      <x:c r="AG55" t="n">
        <x:v>99.3789</x:v>
      </x:c>
      <x:c r="AH55" t="n">
        <x:v>71.5884</x:v>
      </x:c>
      <x:c r="AI55" t="str">
        <x:v>sp|Q5EA01|B4GA1_BOVIN</x:v>
      </x:c>
      <x:c r="AJ55" t="str">
        <x:v>sp|Q5EA01|B4GA1_BOVIN Beta-1,4-glucuronyltransferase 1 OS=Bos taurus OX=9913 GN=B4GAT1 PE=2 SV=2</x:v>
      </x:c>
      <x:c r="AK55" s="19" t="n">
        <x:v>4.96e-35</x:v>
      </x:c>
      <x:c r="AL55" t="n">
        <x:v>134</x:v>
      </x:c>
      <x:c r="AM55" t="n">
        <x:v>32</x:v>
      </x:c>
      <x:c r="AN55" t="n">
        <x:v>100.93167701863354</x:v>
      </x:c>
      <x:c r="AO55" t="n">
        <x:v>78.3132530120482</x:v>
      </x:c>
      <x:c r="AP55" t="n">
        <x:v>0</x:v>
      </x:c>
      <x:c r="AQ55" t="n">
        <x:v>0</x:v>
      </x:c>
      <x:c r="AR55" t="str">
        <x:v>UGT_C006</x:v>
      </x:c>
      <x:c r="AS55" t="n">
        <x:v>1</x:v>
      </x:c>
      <x:c r="AT55" s="17" t="n">
        <x:f>AVERAGE(E55:G55)</x:f>
        <x:v>0.12422633333333333</x:v>
      </x:c>
      <x:c r="AU55" s="17" t="n">
        <x:f>STDEV.S(E55:G55)</x:f>
        <x:v>0.08846593844714094</x:v>
      </x:c>
      <x:c r="AV55" s="17" t="n">
        <x:f>AVERAGE(H55:J55)</x:f>
        <x:v>0.14495966666666668</x:v>
      </x:c>
      <x:c r="AW55" s="17" t="n">
        <x:f>STDEV.S(H55:J55)</x:f>
        <x:v>0.11978804645010845</x:v>
      </x:c>
      <x:c r="AX55" s="17" t="n">
        <x:f>AV55-AT55</x:f>
        <x:v>0.020733333333333354</x:v>
      </x:c>
      <x:c r="AY55" s="17" t="n">
        <x:f>LOG((AV55+1)/(AT55+1),2)</x:f>
        <x:v>0.02636426419040403</x:v>
      </x:c>
      <x:c r="AZ55" s="17" t="n">
        <x:f>AVERAGE(E55:J55)</x:f>
        <x:v>0.134593</x:v>
      </x:c>
      <x:c r="BA55" s="17" t="n">
        <x:f>MAX(E55:J55)</x:f>
        <x:v>0.281326</x:v>
      </x:c>
      <x:c r="BB55" s="20" t="n">
        <x:f>IF(Q55="provisional_HQ_domain",2,0)+IF(Y55,1,0)+IF(AB55,1,0)+IF(AI55&lt;&gt;"",1,0)+IF(AP55+AQ55&gt;0,1,0)</x:f>
        <x:v>3</x:v>
      </x:c>
      <x:c r="BC55" t="str">
        <x:f>IF(OR(ISNUMBER(SEARCH("exclude",U55)),ISNUMBER(SEARCH("hold",U55)),ISNUMBER(SEARCH("hold",W55))),"Review",IF(BB55&gt;=5,"Strong multi-evidence",IF(BB55&gt;=3,"Supported","Weak/inspect")))</x:f>
        <x:v>Review</x:v>
      </x:c>
    </x:row>
    <x:row r="56">
      <x:c r="A56" t="str">
        <x:v>UGT</x:v>
      </x:c>
      <x:c r="B56" t="str">
        <x:v>TRINITY_DN2328_c0_g1</x:v>
      </x:c>
      <x:c r="C56" t="str">
        <x:v>yes</x:v>
      </x:c>
      <x:c r="D56" t="n">
        <x:v>3</x:v>
      </x:c>
      <x:c r="E56" s="17" t="n">
        <x:v>1.776133</x:v>
      </x:c>
      <x:c r="F56" s="17" t="n">
        <x:v>3.1264279999999998</x:v>
      </x:c>
      <x:c r="G56" s="17" t="n">
        <x:v>1.2443469999999999</x:v>
      </x:c>
      <x:c r="H56" s="17" t="n">
        <x:v>3.89707</x:v>
      </x:c>
      <x:c r="I56" s="17" t="n">
        <x:v>5.439541</x:v>
      </x:c>
      <x:c r="J56" s="17" t="n">
        <x:v>4.151612</x:v>
      </x:c>
      <x:c r="K56" s="17" t="n">
        <x:v>1.80073744</x:v>
      </x:c>
      <x:c r="L56" s="17" t="n">
        <x:v>3.7878526</x:v>
      </x:c>
      <x:c r="M56" s="17" t="n">
        <x:v>1.9871151599999999</x:v>
      </x:c>
      <x:c r="N56" s="18" t="n">
        <x:v>0.717571469829323</x:v>
      </x:c>
      <x:c r="O56" t="str">
        <x:v>TRINITY_DN2328_c0_g1_i1.p1</x:v>
      </x:c>
      <x:c r="P56" t="n">
        <x:v>528</x:v>
      </x:c>
      <x:c r="Q56" t="str">
        <x:v>provisional_HQ_domain</x:v>
      </x:c>
      <x:c r="R56" t="str">
        <x:v>family_defining_domain_detected</x:v>
      </x:c>
      <x:c r="S56" t="str">
        <x:v>IPR002213;PF00201</x:v>
      </x:c>
      <x:c r="T56" t="str">
        <x:v>UDP-glucoronosyl and UDP-glucosyl transferase;UDP-glucuronosyl/UDP-glucosyltransferase</x:v>
      </x:c>
      <x:c r="U56"/>
      <x:c r="V56"/>
      <x:c r="W56"/>
      <x:c r="X56"/>
      <x:c r="Y56" s="15" t="b">
        <x:v>1</x:v>
      </x:c>
      <x:c r="Z56" s="15" t="b">
        <x:v>0</x:v>
      </x:c>
      <x:c r="AA56" s="15" t="b">
        <x:v>1</x:v>
      </x:c>
      <x:c r="AB56" s="15" t="b">
        <x:v>1</x:v>
      </x:c>
      <x:c r="AC56" t="str">
        <x:v>Spodoptera|XP_050556017.1</x:v>
      </x:c>
      <x:c r="AD56" s="19" t="n">
        <x:v>0</x:v>
      </x:c>
      <x:c r="AE56" t="n">
        <x:v>726</x:v>
      </x:c>
      <x:c r="AF56" t="n">
        <x:v>67.787</x:v>
      </x:c>
      <x:c r="AG56" t="n">
        <x:v>96.0152</x:v>
      </x:c>
      <x:c r="AH56" t="n">
        <x:v>48.7007</x:v>
      </x:c>
      <x:c r="AI56" t="str">
        <x:v>sp|A0A291PQH4|UGT2_DACCO</x:v>
      </x:c>
      <x:c r="AJ56" t="str">
        <x:v>sp|A0A291PQH4|UGT2_DACCO UDP-glucosyltransferase 2 OS=Dactylopius coccus OX=765876 GN=UTG2 PE=1 SV=1</x:v>
      </x:c>
      <x:c r="AK56" s="19" t="n">
        <x:v>6.89e-65</x:v>
      </x:c>
      <x:c r="AL56" t="n">
        <x:v>222</x:v>
      </x:c>
      <x:c r="AM56" t="n">
        <x:v>30.1</x:v>
      </x:c>
      <x:c r="AN56" t="n">
        <x:v>93.92789373814041</x:v>
      </x:c>
      <x:c r="AO56" t="n">
        <x:v>96.11650485436893</x:v>
      </x:c>
      <x:c r="AP56" t="n">
        <x:v>0</x:v>
      </x:c>
      <x:c r="AQ56" t="n">
        <x:v>0</x:v>
      </x:c>
      <x:c r="AR56" t="str">
        <x:v>UGT_C001</x:v>
      </x:c>
      <x:c r="AS56" t="n">
        <x:v>15</x:v>
      </x:c>
      <x:c r="AT56" s="17" t="n">
        <x:f>AVERAGE(E56:G56)</x:f>
        <x:v>2.0489693333333334</x:v>
      </x:c>
      <x:c r="AU56" s="17" t="n">
        <x:f>STDEV.S(E56:G56)</x:f>
        <x:v>0.970250983627604</x:v>
      </x:c>
      <x:c r="AV56" s="17" t="n">
        <x:f>AVERAGE(H56:J56)</x:f>
        <x:v>4.4960743333333335</x:v>
      </x:c>
      <x:c r="AW56" s="17" t="n">
        <x:f>STDEV.S(H56:J56)</x:f>
        <x:v>0.8269189324077262</x:v>
      </x:c>
      <x:c r="AX56" s="17" t="n">
        <x:f>AV56-AT56</x:f>
        <x:v>2.447105</x:v>
      </x:c>
      <x:c r="AY56" s="17" t="n">
        <x:f>LOG((AV56+1)/(AT56+1),2)</x:f>
        <x:v>0.8500798767260608</x:v>
      </x:c>
      <x:c r="AZ56" s="17" t="n">
        <x:f>AVERAGE(E56:J56)</x:f>
        <x:v>3.2725218333333337</x:v>
      </x:c>
      <x:c r="BA56" s="17" t="n">
        <x:f>MAX(E56:J56)</x:f>
        <x:v>5.439541</x:v>
      </x:c>
      <x:c r="BB56" s="20" t="n">
        <x:f>IF(Q56="provisional_HQ_domain",2,0)+IF(Y56,1,0)+IF(AB56,1,0)+IF(AI56&lt;&gt;"",1,0)+IF(AP56+AQ56&gt;0,1,0)</x:f>
        <x:v>5</x:v>
      </x:c>
      <x:c r="BC56" t="str">
        <x:f>IF(OR(ISNUMBER(SEARCH("exclude",U56)),ISNUMBER(SEARCH("hold",U56)),ISNUMBER(SEARCH("hold",W56))),"Review",IF(BB56&gt;=5,"Strong multi-evidence",IF(BB56&gt;=3,"Supported","Weak/inspect")))</x:f>
        <x:v>Strong multi-evidence</x:v>
      </x:c>
    </x:row>
    <x:row r="57">
      <x:c r="A57" t="str">
        <x:v>UGT</x:v>
      </x:c>
      <x:c r="B57" t="str">
        <x:v>TRINITY_DN2332_c0_g1</x:v>
      </x:c>
      <x:c r="C57" t="str">
        <x:v>yes</x:v>
      </x:c>
      <x:c r="D57" t="n">
        <x:v>3</x:v>
      </x:c>
      <x:c r="E57" s="17" t="n">
        <x:v>0.37447199999999997</x:v>
      </x:c>
      <x:c r="F57" s="17" t="n">
        <x:v>0.875033</x:v>
      </x:c>
      <x:c r="G57" s="17" t="n">
        <x:v>1.089035</x:v>
      </x:c>
      <x:c r="H57" s="17" t="n">
        <x:v>2.1118669999999997</x:v>
      </x:c>
      <x:c r="I57" s="17" t="n">
        <x:v>1.700726</x:v>
      </x:c>
      <x:c r="J57" s="17" t="n">
        <x:v>1.204294</x:v>
      </x:c>
      <x:c r="K57" s="17" t="n">
        <x:v>0.6992304</x:v>
      </x:c>
      <x:c r="L57" s="17" t="n">
        <x:v>1.4128762799999999</x:v>
      </x:c>
      <x:c r="M57" s="17" t="n">
        <x:v>0.7136458799999998</x:v>
      </x:c>
      <x:c r="N57" s="18" t="n">
        <x:v>0.986502347389427</x:v>
      </x:c>
      <x:c r="O57" t="str">
        <x:v>TRINITY_DN2332_c0_g1_i2.p1</x:v>
      </x:c>
      <x:c r="P57" t="n">
        <x:v>545</x:v>
      </x:c>
      <x:c r="Q57" t="str">
        <x:v>provisional_HQ_domain</x:v>
      </x:c>
      <x:c r="R57" t="str">
        <x:v>family_defining_domain_detected</x:v>
      </x:c>
      <x:c r="S57" t="str">
        <x:v>IPR002213;PF00201</x:v>
      </x:c>
      <x:c r="T57" t="str">
        <x:v>UDP-glucoronosyl and UDP-glucosyl transferase;UDP-glucuronosyl/UDP-glucosyltransferase</x:v>
      </x:c>
      <x:c r="U57"/>
      <x:c r="V57"/>
      <x:c r="W57"/>
      <x:c r="X57"/>
      <x:c r="Y57" s="15" t="b">
        <x:v>1</x:v>
      </x:c>
      <x:c r="Z57" s="15" t="b">
        <x:v>0</x:v>
      </x:c>
      <x:c r="AA57" s="15" t="b">
        <x:v>1</x:v>
      </x:c>
      <x:c r="AB57" s="15" t="b">
        <x:v>1</x:v>
      </x:c>
      <x:c r="AC57" t="str">
        <x:v>Spodoptera|XP_035437706.2</x:v>
      </x:c>
      <x:c r="AD57" s="19" t="n">
        <x:v>0</x:v>
      </x:c>
      <x:c r="AE57" t="n">
        <x:v>1073</x:v>
      </x:c>
      <x:c r="AF57" t="n">
        <x:v>93.382</x:v>
      </x:c>
      <x:c r="AG57" t="n">
        <x:v>100</x:v>
      </x:c>
      <x:c r="AH57" t="n">
        <x:v>100</x:v>
      </x:c>
      <x:c r="AI57" t="str">
        <x:v>sp|A0A291PQH4|UGT2_DACCO</x:v>
      </x:c>
      <x:c r="AJ57" t="str">
        <x:v>sp|A0A291PQH4|UGT2_DACCO UDP-glucosyltransferase 2 OS=Dactylopius coccus OX=765876 GN=UTG2 PE=1 SV=1</x:v>
      </x:c>
      <x:c r="AK57" s="19" t="n">
        <x:v>8.42e-76</x:v>
      </x:c>
      <x:c r="AL57" t="n">
        <x:v>251</x:v>
      </x:c>
      <x:c r="AM57" t="n">
        <x:v>32</x:v>
      </x:c>
      <x:c r="AN57" t="n">
        <x:v>86.76470588235294</x:v>
      </x:c>
      <x:c r="AO57" t="n">
        <x:v>91.6504854368932</x:v>
      </x:c>
      <x:c r="AP57" t="n">
        <x:v>0</x:v>
      </x:c>
      <x:c r="AQ57" t="n">
        <x:v>0</x:v>
      </x:c>
      <x:c r="AR57" t="str">
        <x:v>UGT_C001</x:v>
      </x:c>
      <x:c r="AS57" t="n">
        <x:v>15</x:v>
      </x:c>
      <x:c r="AT57" s="17" t="n">
        <x:f>AVERAGE(E57:G57)</x:f>
        <x:v>0.7795133333333334</x:v>
      </x:c>
      <x:c r="AU57" s="17" t="n">
        <x:f>STDEV.S(E57:G57)</x:f>
        <x:v>0.3667329754498951</x:v>
      </x:c>
      <x:c r="AV57" s="17" t="n">
        <x:f>AVERAGE(H57:J57)</x:f>
        <x:v>1.6722956666666666</x:v>
      </x:c>
      <x:c r="AW57" s="17" t="n">
        <x:f>STDEV.S(H57:J57)</x:f>
        <x:v>0.4544539585836317</x:v>
      </x:c>
      <x:c r="AX57" s="17" t="n">
        <x:f>AV57-AT57</x:f>
        <x:v>0.8927823333333332</x:v>
      </x:c>
      <x:c r="AY57" s="17" t="n">
        <x:f>LOG((AV57+1)/(AT57+1),2)</x:f>
        <x:v>0.5865968959657847</x:v>
      </x:c>
      <x:c r="AZ57" s="17" t="n">
        <x:f>AVERAGE(E57:J57)</x:f>
        <x:v>1.2259045</x:v>
      </x:c>
      <x:c r="BA57" s="17" t="n">
        <x:f>MAX(E57:J57)</x:f>
        <x:v>2.1118669999999997</x:v>
      </x:c>
      <x:c r="BB57" s="20" t="n">
        <x:f>IF(Q57="provisional_HQ_domain",2,0)+IF(Y57,1,0)+IF(AB57,1,0)+IF(AI57&lt;&gt;"",1,0)+IF(AP57+AQ57&gt;0,1,0)</x:f>
        <x:v>5</x:v>
      </x:c>
      <x:c r="BC57" t="str">
        <x:f>IF(OR(ISNUMBER(SEARCH("exclude",U57)),ISNUMBER(SEARCH("hold",U57)),ISNUMBER(SEARCH("hold",W57))),"Review",IF(BB57&gt;=5,"Strong multi-evidence",IF(BB57&gt;=3,"Supported","Weak/inspect")))</x:f>
        <x:v>Strong multi-evidence</x:v>
      </x:c>
    </x:row>
    <x:row r="58">
      <x:c r="A58" t="str">
        <x:v>UGT</x:v>
      </x:c>
      <x:c r="B58" t="str">
        <x:v>TRINITY_DN243_c0_g1</x:v>
      </x:c>
      <x:c r="C58" t="str">
        <x:v>yes</x:v>
      </x:c>
      <x:c r="D58" t="n">
        <x:v>7</x:v>
      </x:c>
      <x:c r="E58" s="17" t="n">
        <x:v>7.2975710000000005</x:v>
      </x:c>
      <x:c r="F58" s="17" t="n">
        <x:v>15.196076999999999</x:v>
      </x:c>
      <x:c r="G58" s="17" t="n">
        <x:v>7.986296</x:v>
      </x:c>
      <x:c r="H58" s="17" t="n">
        <x:v>11.984983</x:v>
      </x:c>
      <x:c r="I58" s="17" t="n">
        <x:v>10.213438</x:v>
      </x:c>
      <x:c r="J58" s="17" t="n">
        <x:v>6.244917999999999</x:v>
      </x:c>
      <x:c r="K58" s="17" t="n">
        <x:v>9.6431218</x:v>
      </x:c>
      <x:c r="L58" s="17" t="n">
        <x:v>9.0479438</x:v>
      </x:c>
      <x:c r="M58" s="17" t="n">
        <x:v>-0.5951779999999989</x:v>
      </x:c>
      <x:c r="N58" s="18" t="n">
        <x:v>0.947360851330125</x:v>
      </x:c>
      <x:c r="O58" t="str">
        <x:v>TRINITY_DN243_c0_g1_i5.p1</x:v>
      </x:c>
      <x:c r="P58" t="n">
        <x:v>518</x:v>
      </x:c>
      <x:c r="Q58" t="str">
        <x:v>provisional_HQ_domain</x:v>
      </x:c>
      <x:c r="R58" t="str">
        <x:v>family_defining_domain_detected</x:v>
      </x:c>
      <x:c r="S58" t="str">
        <x:v>IPR002213;PF00201</x:v>
      </x:c>
      <x:c r="T58" t="str">
        <x:v>UDP-glucoronosyl and UDP-glucosyl transferase;UDP-glucuronosyl/UDP-glucosyltransferase</x:v>
      </x:c>
      <x:c r="U58"/>
      <x:c r="V58"/>
      <x:c r="W58"/>
      <x:c r="X58"/>
      <x:c r="Y58" s="15" t="b">
        <x:v>1</x:v>
      </x:c>
      <x:c r="Z58" s="15" t="b">
        <x:v>0</x:v>
      </x:c>
      <x:c r="AA58" s="15" t="b">
        <x:v>1</x:v>
      </x:c>
      <x:c r="AB58" s="15" t="b">
        <x:v>1</x:v>
      </x:c>
      <x:c r="AC58" t="str">
        <x:v>Spodoptera|XP_050550361.1</x:v>
      </x:c>
      <x:c r="AD58" s="19" t="n">
        <x:v>0</x:v>
      </x:c>
      <x:c r="AE58" t="n">
        <x:v>901</x:v>
      </x:c>
      <x:c r="AF58" t="n">
        <x:v>84.263</x:v>
      </x:c>
      <x:c r="AG58" t="n">
        <x:v>97.0986</x:v>
      </x:c>
      <x:c r="AH58" t="n">
        <x:v>97.2868</x:v>
      </x:c>
      <x:c r="AI58" t="str">
        <x:v>sp|A0A291PQH4|UGT2_DACCO</x:v>
      </x:c>
      <x:c r="AJ58" t="str">
        <x:v>sp|A0A291PQH4|UGT2_DACCO UDP-glucosyltransferase 2 OS=Dactylopius coccus OX=765876 GN=UTG2 PE=1 SV=1</x:v>
      </x:c>
      <x:c r="AK58" s="19" t="n">
        <x:v>1.59e-92</x:v>
      </x:c>
      <x:c r="AL58" t="n">
        <x:v>294</x:v>
      </x:c>
      <x:c r="AM58" t="n">
        <x:v>34.8</x:v>
      </x:c>
      <x:c r="AN58" t="n">
        <x:v>94.39071566731141</x:v>
      </x:c>
      <x:c r="AO58" t="n">
        <x:v>94.75728155339806</x:v>
      </x:c>
      <x:c r="AP58" t="n">
        <x:v>0</x:v>
      </x:c>
      <x:c r="AQ58" t="n">
        <x:v>0</x:v>
      </x:c>
      <x:c r="AR58" t="str">
        <x:v>UGT_C001</x:v>
      </x:c>
      <x:c r="AS58" t="n">
        <x:v>15</x:v>
      </x:c>
      <x:c r="AT58" s="17" t="n">
        <x:f>AVERAGE(E58:G58)</x:f>
        <x:v>10.159981333333333</x:v>
      </x:c>
      <x:c r="AU58" s="17" t="n">
        <x:f>STDEV.S(E58:G58)</x:f>
        <x:v>4.37496059459629</x:v>
      </x:c>
      <x:c r="AV58" s="17" t="n">
        <x:f>AVERAGE(H58:J58)</x:f>
        <x:v>9.481112999999999</x:v>
      </x:c>
      <x:c r="AW58" s="17" t="n">
        <x:f>STDEV.S(H58:J58)</x:f>
        <x:v>2.9392705694227947</x:v>
      </x:c>
      <x:c r="AX58" s="17" t="n">
        <x:f>AV58-AT58</x:f>
        <x:v>-0.6788683333333339</x:v>
      </x:c>
      <x:c r="AY58" s="17" t="n">
        <x:f>LOG((AV58+1)/(AT58+1),2)</x:f>
        <x:v>-0.09054268779795994</x:v>
      </x:c>
      <x:c r="AZ58" s="17" t="n">
        <x:f>AVERAGE(E58:J58)</x:f>
        <x:v>9.820547166666666</x:v>
      </x:c>
      <x:c r="BA58" s="17" t="n">
        <x:f>MAX(E58:J58)</x:f>
        <x:v>15.196076999999999</x:v>
      </x:c>
      <x:c r="BB58" s="20" t="n">
        <x:f>IF(Q58="provisional_HQ_domain",2,0)+IF(Y58,1,0)+IF(AB58,1,0)+IF(AI58&lt;&gt;"",1,0)+IF(AP58+AQ58&gt;0,1,0)</x:f>
        <x:v>5</x:v>
      </x:c>
      <x:c r="BC58" t="str">
        <x:f>IF(OR(ISNUMBER(SEARCH("exclude",U58)),ISNUMBER(SEARCH("hold",U58)),ISNUMBER(SEARCH("hold",W58))),"Review",IF(BB58&gt;=5,"Strong multi-evidence",IF(BB58&gt;=3,"Supported","Weak/inspect")))</x:f>
        <x:v>Strong multi-evidence</x:v>
      </x:c>
    </x:row>
    <x:row r="59">
      <x:c r="A59" t="str">
        <x:v>UGT</x:v>
      </x:c>
      <x:c r="B59" t="str">
        <x:v>TRINITY_DN28473_c0_g1</x:v>
      </x:c>
      <x:c r="C59" t="str">
        <x:v>no</x:v>
      </x:c>
      <x:c r="D59" t="n">
        <x:v>2</x:v>
      </x:c>
      <x:c r="E59" s="17" t="n">
        <x:v>18.415325000000003</x:v>
      </x:c>
      <x:c r="F59" s="17" t="n">
        <x:v>23.091063000000002</x:v>
      </x:c>
      <x:c r="G59" s="17" t="n">
        <x:v>10.722594</x:v>
      </x:c>
      <x:c r="H59" s="17" t="n">
        <x:v>27.299452000000002</x:v>
      </x:c>
      <x:c r="I59" s="17" t="n">
        <x:v>32.262144</x:v>
      </x:c>
      <x:c r="J59" s="17" t="n">
        <x:v>31.388655</x:v>
      </x:c>
      <x:c r="K59" s="17" t="n">
        <x:v>14.983774980000002</x:v>
      </x:c>
      <x:c r="L59" s="17" t="n">
        <x:v>24.68898618</x:v>
      </x:c>
      <x:c r="M59" s="17" t="n">
        <x:v>9.705211199999999</x:v>
      </x:c>
      <x:c r="N59" s="18" t="n">
        <x:v>0.999999010765626</x:v>
      </x:c>
      <x:c r="O59" t="str">
        <x:v>TRINITY_DN28473_c0_g1_i1.p1</x:v>
      </x:c>
      <x:c r="P59" t="n">
        <x:v>436</x:v>
      </x:c>
      <x:c r="Q59" t="str">
        <x:v>review</x:v>
      </x:c>
      <x:c r="R59" t="str">
        <x:v>no_family_defining_domain_in_current_core_table</x:v>
      </x:c>
      <x:c r="S59" t="str">
        <x:v>IPR005013;PF03345</x:v>
      </x:c>
      <x:c r="T59" t="str">
        <x:v>Dolichyl-diphosphooligosaccharide--protein glycosyltransferase 48kDa subunit;Oligosaccharyltransferase 48 kDa subunit beta</x:v>
      </x:c>
      <x:c r="U59" t="str">
        <x:v>exclude_from_canonical_UGT</x:v>
      </x:c>
      <x:c r="V59" t="str">
        <x:v>alternative domain architecture; PF00201/IPR002213 absent</x:v>
      </x:c>
      <x:c r="W59"/>
      <x:c r="X59"/>
      <x:c r="Y59" s="15" t="b">
        <x:v>1</x:v>
      </x:c>
      <x:c r="Z59" s="15" t="b">
        <x:v>0</x:v>
      </x:c>
      <x:c r="AA59" s="15" t="b">
        <x:v>1</x:v>
      </x:c>
      <x:c r="AB59" s="15" t="b">
        <x:v>1</x:v>
      </x:c>
      <x:c r="AC59" t="str">
        <x:v>Spodoptera|XP_035436808.1</x:v>
      </x:c>
      <x:c r="AD59" s="19" t="n">
        <x:v>0</x:v>
      </x:c>
      <x:c r="AE59" t="n">
        <x:v>856</x:v>
      </x:c>
      <x:c r="AF59" t="n">
        <x:v>94.713</x:v>
      </x:c>
      <x:c r="AG59" t="n">
        <x:v>100</x:v>
      </x:c>
      <x:c r="AH59" t="n">
        <x:v>100.23</x:v>
      </x:c>
      <x:c r="AI59" t="str">
        <x:v>sp|Q24319|OST48_DROME</x:v>
      </x:c>
      <x:c r="AJ59" t="str">
        <x:v>sp|Q24319|OST48_DROME Dolichyl-diphosphooligosaccharide--protein glycosyltransferase 48 kDa subunit OS=Drosophila melanogaster OX=7227 GN=Ost48 PE=2 SV=2</x:v>
      </x:c>
      <x:c r="AK59" s="19" t="n">
        <x:v>1.04e-190</x:v>
      </x:c>
      <x:c r="AL59" t="n">
        <x:v>540</x:v>
      </x:c>
      <x:c r="AM59" t="n">
        <x:v>64.5</x:v>
      </x:c>
      <x:c r="AN59" t="n">
        <x:v>97.01149425287356</x:v>
      </x:c>
      <x:c r="AO59" t="n">
        <x:v>93.98663697104676</x:v>
      </x:c>
      <x:c r="AP59" t="n">
        <x:v>0</x:v>
      </x:c>
      <x:c r="AQ59" t="n">
        <x:v>0</x:v>
      </x:c>
      <x:c r="AR59" t="str">
        <x:v>UGT_C007</x:v>
      </x:c>
      <x:c r="AS59" t="n">
        <x:v>1</x:v>
      </x:c>
      <x:c r="AT59" s="17" t="n">
        <x:f>AVERAGE(E59:G59)</x:f>
        <x:v>17.409660666666667</x:v>
      </x:c>
      <x:c r="AU59" s="17" t="n">
        <x:f>STDEV.S(E59:G59)</x:f>
        <x:v>6.245260356021544</x:v>
      </x:c>
      <x:c r="AV59" s="17" t="n">
        <x:f>AVERAGE(H59:J59)</x:f>
        <x:v>30.316750333333335</x:v>
      </x:c>
      <x:c r="AW59" s="17" t="n">
        <x:f>STDEV.S(H59:J59)</x:f>
        <x:v>2.649304188373303</x:v>
      </x:c>
      <x:c r="AX59" s="17" t="n">
        <x:f>AV59-AT59</x:f>
        <x:v>12.907089666666668</x:v>
      </x:c>
      <x:c r="AY59" s="17" t="n">
        <x:f>LOG((AV59+1)/(AT59+1),2)</x:f>
        <x:v>0.7664714806008942</x:v>
      </x:c>
      <x:c r="AZ59" s="17" t="n">
        <x:f>AVERAGE(E59:J59)</x:f>
        <x:v>23.863205500000003</x:v>
      </x:c>
      <x:c r="BA59" s="17" t="n">
        <x:f>MAX(E59:J59)</x:f>
        <x:v>32.262144</x:v>
      </x:c>
      <x:c r="BB59" s="20" t="n">
        <x:f>IF(Q59="provisional_HQ_domain",2,0)+IF(Y59,1,0)+IF(AB59,1,0)+IF(AI59&lt;&gt;"",1,0)+IF(AP59+AQ59&gt;0,1,0)</x:f>
        <x:v>3</x:v>
      </x:c>
      <x:c r="BC59" t="str">
        <x:f>IF(OR(ISNUMBER(SEARCH("exclude",U59)),ISNUMBER(SEARCH("hold",U59)),ISNUMBER(SEARCH("hold",W59))),"Review",IF(BB59&gt;=5,"Strong multi-evidence",IF(BB59&gt;=3,"Supported","Weak/inspect")))</x:f>
        <x:v>Review</x:v>
      </x:c>
    </x:row>
    <x:row r="60">
      <x:c r="A60" t="str">
        <x:v>UGT</x:v>
      </x:c>
      <x:c r="B60" t="str">
        <x:v>TRINITY_DN3225_c0_g1</x:v>
      </x:c>
      <x:c r="C60" t="str">
        <x:v>no</x:v>
      </x:c>
      <x:c r="D60" t="n">
        <x:v>9</x:v>
      </x:c>
      <x:c r="E60" s="17" t="n">
        <x:v>6.0947189999999996</x:v>
      </x:c>
      <x:c r="F60" s="17" t="n">
        <x:v>8.354085</x:v>
      </x:c>
      <x:c r="G60" s="17" t="n">
        <x:v>3.221646</x:v>
      </x:c>
      <x:c r="H60" s="17" t="n">
        <x:v>11.565831000000001</x:v>
      </x:c>
      <x:c r="I60" s="17" t="n">
        <x:v>12.629284</x:v>
      </x:c>
      <x:c r="J60" s="17" t="n">
        <x:v>14.98264</x:v>
      </x:c>
      <x:c r="K60" s="17" t="n">
        <x:v>5.18613228</x:v>
      </x:c>
      <x:c r="L60" s="17" t="n">
        <x:v>11.1582898</x:v>
      </x:c>
      <x:c r="M60" s="17" t="n">
        <x:v>5.9721575200000006</x:v>
      </x:c>
      <x:c r="N60" s="18" t="n">
        <x:v>0.115753281887342</x:v>
      </x:c>
      <x:c r="O60" t="str">
        <x:v>TRINITY_DN3225_c0_g1_i2.p1</x:v>
      </x:c>
      <x:c r="P60" t="n">
        <x:v>778</x:v>
      </x:c>
      <x:c r="Q60" t="str">
        <x:v>review</x:v>
      </x:c>
      <x:c r="R60" t="str">
        <x:v>no_family_defining_domain_in_current_core_table</x:v>
      </x:c>
      <x:c r="S60" t="str">
        <x:v>IPR003674;PF02516</x:v>
      </x:c>
      <x:c r="T60" t="str">
        <x:v>Oligosaccharyl transferase STT3 subunit;Oligosaccharyl transferase, STT3 subunit</x:v>
      </x:c>
      <x:c r="U60" t="str">
        <x:v>exclude_from_canonical_UGT</x:v>
      </x:c>
      <x:c r="V60" t="str">
        <x:v>alternative domain architecture; PF00201/IPR002213 absent</x:v>
      </x:c>
      <x:c r="W60"/>
      <x:c r="X60"/>
      <x:c r="Y60" s="15" t="b">
        <x:v>1</x:v>
      </x:c>
      <x:c r="Z60" s="15" t="b">
        <x:v>0</x:v>
      </x:c>
      <x:c r="AA60" s="15" t="b">
        <x:v>1</x:v>
      </x:c>
      <x:c r="AB60" s="15" t="b">
        <x:v>1</x:v>
      </x:c>
      <x:c r="AC60" t="str">
        <x:v>Spodoptera|XP_035449977.1</x:v>
      </x:c>
      <x:c r="AD60" s="19" t="n">
        <x:v>0</x:v>
      </x:c>
      <x:c r="AE60" t="n">
        <x:v>1512</x:v>
      </x:c>
      <x:c r="AF60" t="n">
        <x:v>94.981</x:v>
      </x:c>
      <x:c r="AG60" t="n">
        <x:v>100</x:v>
      </x:c>
      <x:c r="AH60" t="n">
        <x:v>100</x:v>
      </x:c>
      <x:c r="AI60" t="str">
        <x:v>sp|Q3TDQ1|STT3B_MOUSE</x:v>
      </x:c>
      <x:c r="AJ60" t="str">
        <x:v>sp|Q3TDQ1|STT3B_MOUSE Dolichyl-diphosphooligosaccharide--protein glycosyltransferase subunit STT3B OS=Mus musculus OX=10090 GN=Stt3b PE=1 SV=2</x:v>
      </x:c>
      <x:c r="AK60" s="19" t="n">
        <x:v>0</x:v>
      </x:c>
      <x:c r="AL60" t="n">
        <x:v>1082</x:v>
      </x:c>
      <x:c r="AM60" t="n">
        <x:v>70.8</x:v>
      </x:c>
      <x:c r="AN60" t="n">
        <x:v>98.45559845559846</x:v>
      </x:c>
      <x:c r="AO60" t="n">
        <x:v>92.95261239368165</x:v>
      </x:c>
      <x:c r="AP60" t="n">
        <x:v>0</x:v>
      </x:c>
      <x:c r="AQ60" t="n">
        <x:v>0</x:v>
      </x:c>
      <x:c r="AR60" t="str">
        <x:v>UGT_C008</x:v>
      </x:c>
      <x:c r="AS60" t="n">
        <x:v>1</x:v>
      </x:c>
      <x:c r="AT60" s="17" t="n">
        <x:f>AVERAGE(E60:G60)</x:f>
        <x:v>5.890149999999999</x:v>
      </x:c>
      <x:c r="AU60" s="17" t="n">
        <x:f>STDEV.S(E60:G60)</x:f>
        <x:v>2.5723275217205526</x:v>
      </x:c>
      <x:c r="AV60" s="17" t="n">
        <x:f>AVERAGE(H60:J60)</x:f>
        <x:v>13.059251666666668</x:v>
      </x:c>
      <x:c r="AW60" s="17" t="n">
        <x:f>STDEV.S(H60:J60)</x:f>
        <x:v>1.7485136777858878</x:v>
      </x:c>
      <x:c r="AX60" s="17" t="n">
        <x:f>AV60-AT60</x:f>
        <x:v>7.169101666666669</x:v>
      </x:c>
      <x:c r="AY60" s="17" t="n">
        <x:f>LOG((AV60+1)/(AT60+1),2)</x:f>
        <x:v>1.0289125098110856</x:v>
      </x:c>
      <x:c r="AZ60" s="17" t="n">
        <x:f>AVERAGE(E60:J60)</x:f>
        <x:v>9.474700833333332</x:v>
      </x:c>
      <x:c r="BA60" s="17" t="n">
        <x:f>MAX(E60:J60)</x:f>
        <x:v>14.98264</x:v>
      </x:c>
      <x:c r="BB60" s="20" t="n">
        <x:f>IF(Q60="provisional_HQ_domain",2,0)+IF(Y60,1,0)+IF(AB60,1,0)+IF(AI60&lt;&gt;"",1,0)+IF(AP60+AQ60&gt;0,1,0)</x:f>
        <x:v>3</x:v>
      </x:c>
      <x:c r="BC60" t="str">
        <x:f>IF(OR(ISNUMBER(SEARCH("exclude",U60)),ISNUMBER(SEARCH("hold",U60)),ISNUMBER(SEARCH("hold",W60))),"Review",IF(BB60&gt;=5,"Strong multi-evidence",IF(BB60&gt;=3,"Supported","Weak/inspect")))</x:f>
        <x:v>Review</x:v>
      </x:c>
    </x:row>
    <x:row r="61">
      <x:c r="A61" t="str">
        <x:v>UGT</x:v>
      </x:c>
      <x:c r="B61" t="str">
        <x:v>TRINITY_DN3269_c0_g1</x:v>
      </x:c>
      <x:c r="C61" t="str">
        <x:v>yes</x:v>
      </x:c>
      <x:c r="D61" t="n">
        <x:v>2</x:v>
      </x:c>
      <x:c r="E61" s="17" t="n">
        <x:v>0.827584</x:v>
      </x:c>
      <x:c r="F61" s="17" t="n">
        <x:v>4.857129</x:v>
      </x:c>
      <x:c r="G61" s="17" t="n">
        <x:v>2.404615</x:v>
      </x:c>
      <x:c r="H61" s="17" t="n">
        <x:v>5.004505</x:v>
      </x:c>
      <x:c r="I61" s="17" t="n">
        <x:v>3.596346</x:v>
      </x:c>
      <x:c r="J61" s="17" t="n">
        <x:v>2.7421499999999996</x:v>
      </x:c>
      <x:c r="K61" s="17" t="n">
        <x:v>2.5208261</x:v>
      </x:c>
      <x:c r="L61" s="17" t="n">
        <x:v>3.3871682</x:v>
      </x:c>
      <x:c r="M61" s="17" t="n">
        <x:v>0.8663421000000002</x:v>
      </x:c>
      <x:c r="N61" s="18" t="n">
        <x:v>0.999999010765626</x:v>
      </x:c>
      <x:c r="O61" t="str">
        <x:v>TRINITY_DN3269_c0_g1_i2.p1</x:v>
      </x:c>
      <x:c r="P61" t="n">
        <x:v>523</x:v>
      </x:c>
      <x:c r="Q61" t="str">
        <x:v>provisional_HQ_domain</x:v>
      </x:c>
      <x:c r="R61" t="str">
        <x:v>family_defining_domain_detected</x:v>
      </x:c>
      <x:c r="S61" t="str">
        <x:v>IPR002213;PF00201</x:v>
      </x:c>
      <x:c r="T61" t="str">
        <x:v>UDP-glucoronosyl and UDP-glucosyl transferase;UDP-glucuronosyl/UDP-glucosyltransferase</x:v>
      </x:c>
      <x:c r="U61"/>
      <x:c r="V61"/>
      <x:c r="W61"/>
      <x:c r="X61"/>
      <x:c r="Y61" s="15" t="b">
        <x:v>1</x:v>
      </x:c>
      <x:c r="Z61" s="15" t="b">
        <x:v>0</x:v>
      </x:c>
      <x:c r="AA61" s="15" t="b">
        <x:v>1</x:v>
      </x:c>
      <x:c r="AB61" s="15" t="b">
        <x:v>1</x:v>
      </x:c>
      <x:c r="AC61" t="str">
        <x:v>Spodoptera|XP_035452810.2</x:v>
      </x:c>
      <x:c r="AD61" s="19" t="n">
        <x:v>0</x:v>
      </x:c>
      <x:c r="AE61" t="n">
        <x:v>763</x:v>
      </x:c>
      <x:c r="AF61" t="n">
        <x:v>70.69</x:v>
      </x:c>
      <x:c r="AG61" t="n">
        <x:v>100</x:v>
      </x:c>
      <x:c r="AH61" t="n">
        <x:v>100</x:v>
      </x:c>
      <x:c r="AI61" t="str">
        <x:v>sp|A0A291PQH4|UGT2_DACCO</x:v>
      </x:c>
      <x:c r="AJ61" t="str">
        <x:v>sp|A0A291PQH4|UGT2_DACCO UDP-glucosyltransferase 2 OS=Dactylopius coccus OX=765876 GN=UTG2 PE=1 SV=1</x:v>
      </x:c>
      <x:c r="AK61" s="19" t="n">
        <x:v>2.73e-68</x:v>
      </x:c>
      <x:c r="AL61" t="n">
        <x:v>231</x:v>
      </x:c>
      <x:c r="AM61" t="n">
        <x:v>30.1</x:v>
      </x:c>
      <x:c r="AN61" t="n">
        <x:v>100.57471264367815</x:v>
      </x:c>
      <x:c r="AO61" t="n">
        <x:v>101.94174757281553</x:v>
      </x:c>
      <x:c r="AP61" t="n">
        <x:v>0</x:v>
      </x:c>
      <x:c r="AQ61" t="n">
        <x:v>0</x:v>
      </x:c>
      <x:c r="AR61" t="str">
        <x:v>UGT_C001</x:v>
      </x:c>
      <x:c r="AS61" t="n">
        <x:v>15</x:v>
      </x:c>
      <x:c r="AT61" s="17" t="n">
        <x:f>AVERAGE(E61:G61)</x:f>
        <x:v>2.6964426666666665</x:v>
      </x:c>
      <x:c r="AU61" s="17" t="n">
        <x:f>STDEV.S(E61:G61)</x:f>
        <x:v>2.0305616875707893</x:v>
      </x:c>
      <x:c r="AV61" s="17" t="n">
        <x:f>AVERAGE(H61:J61)</x:f>
        <x:v>3.7810003333333335</x:v>
      </x:c>
      <x:c r="AW61" s="17" t="n">
        <x:f>STDEV.S(H61:J61)</x:f>
        <x:v>1.1424252507802573</x:v>
      </x:c>
      <x:c r="AX61" s="17" t="n">
        <x:f>AV61-AT61</x:f>
        <x:v>1.084557666666667</x:v>
      </x:c>
      <x:c r="AY61" s="17" t="n">
        <x:f>LOG((AV61+1)/(AT61+1),2)</x:f>
        <x:v>0.3711749695484425</x:v>
      </x:c>
      <x:c r="AZ61" s="17" t="n">
        <x:f>AVERAGE(E61:J61)</x:f>
        <x:v>3.2387215</x:v>
      </x:c>
      <x:c r="BA61" s="17" t="n">
        <x:f>MAX(E61:J61)</x:f>
        <x:v>5.004505</x:v>
      </x:c>
      <x:c r="BB61" s="20" t="n">
        <x:f>IF(Q61="provisional_HQ_domain",2,0)+IF(Y61,1,0)+IF(AB61,1,0)+IF(AI61&lt;&gt;"",1,0)+IF(AP61+AQ61&gt;0,1,0)</x:f>
        <x:v>5</x:v>
      </x:c>
      <x:c r="BC61" t="str">
        <x:f>IF(OR(ISNUMBER(SEARCH("exclude",U61)),ISNUMBER(SEARCH("hold",U61)),ISNUMBER(SEARCH("hold",W61))),"Review",IF(BB61&gt;=5,"Strong multi-evidence",IF(BB61&gt;=3,"Supported","Weak/inspect")))</x:f>
        <x:v>Strong multi-evidence</x:v>
      </x:c>
    </x:row>
    <x:row r="62">
      <x:c r="A62" t="str">
        <x:v>UGT</x:v>
      </x:c>
      <x:c r="B62" t="str">
        <x:v>TRINITY_DN37939_c0_g1</x:v>
      </x:c>
      <x:c r="C62" t="str">
        <x:v>no</x:v>
      </x:c>
      <x:c r="D62" t="n">
        <x:v>1</x:v>
      </x:c>
      <x:c r="E62" s="17" t="n">
        <x:v>0</x:v>
      </x:c>
      <x:c r="F62" s="17" t="n">
        <x:v>0.11529</x:v>
      </x:c>
      <x:c r="G62" s="17" t="n">
        <x:v>0</x:v>
      </x:c>
      <x:c r="H62" s="17" t="n">
        <x:v>0.584784</x:v>
      </x:c>
      <x:c r="I62" s="17" t="n">
        <x:v>0.178017</x:v>
      </x:c>
      <x:c r="J62" s="17" t="n">
        <x:v>0</x:v>
      </x:c>
      <x:c r="K62" s="17" t="n">
        <x:v>0.04161364</x:v>
      </x:c>
      <x:c r="L62" s="17" t="n">
        <x:v>0.25236359999999997</x:v>
      </x:c>
      <x:c r="M62" s="17" t="n">
        <x:v>0.21074995999999996</x:v>
      </x:c>
      <x:c r="N62" s="18"/>
      <x:c r="O62" t="str">
        <x:v>TRINITY_DN37939_c0_g1_i1.p1</x:v>
      </x:c>
      <x:c r="P62" t="n">
        <x:v>167</x:v>
      </x:c>
      <x:c r="Q62" t="str">
        <x:v>provisional_HQ_domain</x:v>
      </x:c>
      <x:c r="R62" t="str">
        <x:v>family_defining_domain_detected</x:v>
      </x:c>
      <x:c r="S62" t="str">
        <x:v>IPR002213;PF00201</x:v>
      </x:c>
      <x:c r="T62" t="str">
        <x:v>UDP-glucoronosyl and UDP-glucosyl transferase;UDP-glucuronosyl/UDP-glucosyltransferase</x:v>
      </x:c>
      <x:c r="U62"/>
      <x:c r="V62"/>
      <x:c r="W62"/>
      <x:c r="X62"/>
      <x:c r="Y62" s="15" t="b">
        <x:v>1</x:v>
      </x:c>
      <x:c r="Z62" s="15" t="b">
        <x:v>0</x:v>
      </x:c>
      <x:c r="AA62" s="15" t="b">
        <x:v>1</x:v>
      </x:c>
      <x:c r="AB62" s="15" t="b">
        <x:v>0</x:v>
      </x:c>
      <x:c r="AC62" t="str">
        <x:v>Spodoptera|XP_035458586.2</x:v>
      </x:c>
      <x:c r="AD62" s="19" t="n">
        <x:v>1.59e-99</x:v>
      </x:c>
      <x:c r="AE62" t="n">
        <x:v>289</x:v>
      </x:c>
      <x:c r="AF62" t="n">
        <x:v>82.635</x:v>
      </x:c>
      <x:c r="AG62" t="n">
        <x:v>100</x:v>
      </x:c>
      <x:c r="AH62" t="n">
        <x:v>32.3643</x:v>
      </x:c>
      <x:c r="AI62" t="str">
        <x:v>sp|Q88168|UDPE_NPVSL</x:v>
      </x:c>
      <x:c r="AJ62" t="str">
        <x:v>sp|Q88168|UDPE_NPVSL Ecdysteroid UDP-glucosyltransferase OS=Spodoptera littoralis nuclear polyhedrosis virus OX=10456 GN=EGT PE=3 SV=1</x:v>
      </x:c>
      <x:c r="AK62" s="19" t="n">
        <x:v>2.42e-23</x:v>
      </x:c>
      <x:c r="AL62" t="n">
        <x:v>98.6</x:v>
      </x:c>
      <x:c r="AM62" t="n">
        <x:v>37.9</x:v>
      </x:c>
      <x:c r="AN62" t="n">
        <x:v>101.19760479041916</x:v>
      </x:c>
      <x:c r="AO62" t="n">
        <x:v>32.81553398058252</x:v>
      </x:c>
      <x:c r="AP62" t="n">
        <x:v>0</x:v>
      </x:c>
      <x:c r="AQ62" t="n">
        <x:v>0</x:v>
      </x:c>
      <x:c r="AR62" t="str">
        <x:v>UGT_C002</x:v>
      </x:c>
      <x:c r="AS62" t="n">
        <x:v>7</x:v>
      </x:c>
      <x:c r="AT62" s="17" t="n">
        <x:f>AVERAGE(E62:G62)</x:f>
        <x:v>0.03843</x:v>
      </x:c>
      <x:c r="AU62" s="17" t="n">
        <x:f>STDEV.S(E62:G62)</x:f>
        <x:v>0.06656271253487196</x:v>
      </x:c>
      <x:c r="AV62" s="17" t="n">
        <x:f>AVERAGE(H62:J62)</x:f>
        <x:v>0.25426699999999997</x:v>
      </x:c>
      <x:c r="AW62" s="17" t="n">
        <x:f>STDEV.S(H62:J62)</x:f>
        <x:v>0.2997559482962765</x:v>
      </x:c>
      <x:c r="AX62" s="17" t="n">
        <x:f>AV62-AT62</x:f>
        <x:v>0.21583699999999997</x:v>
      </x:c>
      <x:c r="AY62" s="17" t="n">
        <x:f>LOG((AV62+1)/(AT62+1),2)</x:f>
        <x:v>0.27244052396377877</x:v>
      </x:c>
      <x:c r="AZ62" s="17" t="n">
        <x:f>AVERAGE(E62:J62)</x:f>
        <x:v>0.1463485</x:v>
      </x:c>
      <x:c r="BA62" s="17" t="n">
        <x:f>MAX(E62:J62)</x:f>
        <x:v>0.584784</x:v>
      </x:c>
      <x:c r="BB62" s="20" t="n">
        <x:f>IF(Q62="provisional_HQ_domain",2,0)+IF(Y62,1,0)+IF(AB62,1,0)+IF(AI62&lt;&gt;"",1,0)+IF(AP62+AQ62&gt;0,1,0)</x:f>
        <x:v>4</x:v>
      </x:c>
      <x:c r="BC62" t="str">
        <x:f>IF(OR(ISNUMBER(SEARCH("exclude",U62)),ISNUMBER(SEARCH("hold",U62)),ISNUMBER(SEARCH("hold",W62))),"Review",IF(BB62&gt;=5,"Strong multi-evidence",IF(BB62&gt;=3,"Supported","Weak/inspect")))</x:f>
        <x:v>Supported</x:v>
      </x:c>
    </x:row>
    <x:row r="63">
      <x:c r="A63" t="str">
        <x:v>UGT</x:v>
      </x:c>
      <x:c r="B63" t="str">
        <x:v>TRINITY_DN38523_c0_g1</x:v>
      </x:c>
      <x:c r="C63" t="str">
        <x:v>no</x:v>
      </x:c>
      <x:c r="D63" t="n">
        <x:v>1</x:v>
      </x:c>
      <x:c r="E63" s="17" t="n">
        <x:v>0.129397</x:v>
      </x:c>
      <x:c r="F63" s="17" t="n">
        <x:v>0</x:v>
      </x:c>
      <x:c r="G63" s="17" t="n">
        <x:v>0</x:v>
      </x:c>
      <x:c r="H63" s="17" t="n">
        <x:v>0.460268</x:v>
      </x:c>
      <x:c r="I63" s="17" t="n">
        <x:v>0.086072</x:v>
      </x:c>
      <x:c r="J63" s="17" t="n">
        <x:v>0</x:v>
      </x:c>
      <x:c r="K63" s="17" t="n">
        <x:v>0.04670552</x:v>
      </x:c>
      <x:c r="L63" s="17" t="n">
        <x:v>0.1856504</x:v>
      </x:c>
      <x:c r="M63" s="17" t="n">
        <x:v>0.13894488</x:v>
      </x:c>
      <x:c r="N63" s="18"/>
      <x:c r="O63" t="str">
        <x:v>TRINITY_DN38523_c0_g1_i1.p1</x:v>
      </x:c>
      <x:c r="P63" t="n">
        <x:v>116</x:v>
      </x:c>
      <x:c r="Q63" t="str">
        <x:v>provisional_HQ_domain</x:v>
      </x:c>
      <x:c r="R63" t="str">
        <x:v>family_defining_domain_detected</x:v>
      </x:c>
      <x:c r="S63" t="str">
        <x:v>IPR002213;PF00201</x:v>
      </x:c>
      <x:c r="T63" t="str">
        <x:v>UDP-glucoronosyl and UDP-glucosyl transferase;UDP-glucuronosyl/UDP-glucosyltransferase</x:v>
      </x:c>
      <x:c r="U63"/>
      <x:c r="V63"/>
      <x:c r="W63"/>
      <x:c r="X63"/>
      <x:c r="Y63" s="15" t="b">
        <x:v>1</x:v>
      </x:c>
      <x:c r="Z63" s="15" t="b">
        <x:v>0</x:v>
      </x:c>
      <x:c r="AA63" s="15" t="b">
        <x:v>1</x:v>
      </x:c>
      <x:c r="AB63" s="15" t="b">
        <x:v>0</x:v>
      </x:c>
      <x:c r="AC63" t="str">
        <x:v>Spodoptera|XP_035454998.2</x:v>
      </x:c>
      <x:c r="AD63" s="19" t="n">
        <x:v>2.71e-62</x:v>
      </x:c>
      <x:c r="AE63" t="n">
        <x:v>191</x:v>
      </x:c>
      <x:c r="AF63" t="n">
        <x:v>71.552</x:v>
      </x:c>
      <x:c r="AG63" t="n">
        <x:v>100</x:v>
      </x:c>
      <x:c r="AH63" t="n">
        <x:v>22.2649</x:v>
      </x:c>
      <x:c r="AI63" t="str">
        <x:v>sp|A0A291PQH4|UGT2_DACCO</x:v>
      </x:c>
      <x:c r="AJ63" t="str">
        <x:v>sp|A0A291PQH4|UGT2_DACCO UDP-glucosyltransferase 2 OS=Dactylopius coccus OX=765876 GN=UTG2 PE=1 SV=1</x:v>
      </x:c>
      <x:c r="AK63" s="19" t="n">
        <x:v>1.87e-26</x:v>
      </x:c>
      <x:c r="AL63" t="n">
        <x:v>105</x:v>
      </x:c>
      <x:c r="AM63" t="n">
        <x:v>42</x:v>
      </x:c>
      <x:c r="AN63" t="n">
        <x:v>96.55172413793103</x:v>
      </x:c>
      <x:c r="AO63" t="n">
        <x:v>21.74757281553398</x:v>
      </x:c>
      <x:c r="AP63" t="n">
        <x:v>0</x:v>
      </x:c>
      <x:c r="AQ63" t="n">
        <x:v>0</x:v>
      </x:c>
      <x:c r="AR63" t="str">
        <x:v>UGT_C002</x:v>
      </x:c>
      <x:c r="AS63" t="n">
        <x:v>7</x:v>
      </x:c>
      <x:c r="AT63" s="17" t="n">
        <x:f>AVERAGE(E63:G63)</x:f>
        <x:v>0.043132333333333335</x:v>
      </x:c>
      <x:c r="AU63" s="17" t="n">
        <x:f>STDEV.S(E63:G63)</x:f>
        <x:v>0.07470739278233002</x:v>
      </x:c>
      <x:c r="AV63" s="17" t="n">
        <x:f>AVERAGE(H63:J63)</x:f>
        <x:v>0.18211333333333335</x:v>
      </x:c>
      <x:c r="AW63" s="17" t="n">
        <x:f>STDEV.S(H63:J63)</x:f>
        <x:v>0.24470310835241413</x:v>
      </x:c>
      <x:c r="AX63" s="17" t="n">
        <x:f>AV63-AT63</x:f>
        <x:v>0.13898100000000002</x:v>
      </x:c>
      <x:c r="AY63" s="17" t="n">
        <x:f>LOG((AV63+1)/(AT63+1),2)</x:f>
        <x:v>0.18044616643192693</x:v>
      </x:c>
      <x:c r="AZ63" s="17" t="n">
        <x:f>AVERAGE(E63:J63)</x:f>
        <x:v>0.11262283333333334</x:v>
      </x:c>
      <x:c r="BA63" s="17" t="n">
        <x:f>MAX(E63:J63)</x:f>
        <x:v>0.460268</x:v>
      </x:c>
      <x:c r="BB63" s="20" t="n">
        <x:f>IF(Q63="provisional_HQ_domain",2,0)+IF(Y63,1,0)+IF(AB63,1,0)+IF(AI63&lt;&gt;"",1,0)+IF(AP63+AQ63&gt;0,1,0)</x:f>
        <x:v>4</x:v>
      </x:c>
      <x:c r="BC63" t="str">
        <x:f>IF(OR(ISNUMBER(SEARCH("exclude",U63)),ISNUMBER(SEARCH("hold",U63)),ISNUMBER(SEARCH("hold",W63))),"Review",IF(BB63&gt;=5,"Strong multi-evidence",IF(BB63&gt;=3,"Supported","Weak/inspect")))</x:f>
        <x:v>Supported</x:v>
      </x:c>
    </x:row>
    <x:row r="64">
      <x:c r="A64" t="str">
        <x:v>UGT</x:v>
      </x:c>
      <x:c r="B64" t="str">
        <x:v>TRINITY_DN39303_c0_g1</x:v>
      </x:c>
      <x:c r="C64" t="str">
        <x:v>no</x:v>
      </x:c>
      <x:c r="D64" t="n">
        <x:v>5</x:v>
      </x:c>
      <x:c r="E64" s="17" t="n">
        <x:v>0.472639</x:v>
      </x:c>
      <x:c r="F64" s="17" t="n">
        <x:v>1.316953</x:v>
      </x:c>
      <x:c r="G64" s="17" t="n">
        <x:v>1.200679</x:v>
      </x:c>
      <x:c r="H64" s="17" t="n">
        <x:v>0.184577</x:v>
      </x:c>
      <x:c r="I64" s="17" t="n">
        <x:v>0.308598</x:v>
      </x:c>
      <x:c r="J64" s="17" t="n">
        <x:v>0.158382</x:v>
      </x:c>
      <x:c r="K64" s="17" t="n">
        <x:v>0.8991396</x:v>
      </x:c>
      <x:c r="L64" s="17" t="n">
        <x:v>0.20742001999999998</x:v>
      </x:c>
      <x:c r="M64" s="17" t="n">
        <x:v>-0.69171958</x:v>
      </x:c>
      <x:c r="N64" s="18" t="n">
        <x:v>0.093907358915818</x:v>
      </x:c>
      <x:c r="O64" t="str">
        <x:v>TRINITY_DN39303_c0_g1_i5.p1</x:v>
      </x:c>
      <x:c r="P64" t="n">
        <x:v>529</x:v>
      </x:c>
      <x:c r="Q64" t="str">
        <x:v>provisional_HQ_domain</x:v>
      </x:c>
      <x:c r="R64" t="str">
        <x:v>family_defining_domain_detected</x:v>
      </x:c>
      <x:c r="S64" t="str">
        <x:v>IPR002213;PF00201</x:v>
      </x:c>
      <x:c r="T64" t="str">
        <x:v>UDP-glucoronosyl and UDP-glucosyl transferase;UDP-glucuronosyl/UDP-glucosyltransferase</x:v>
      </x:c>
      <x:c r="U64"/>
      <x:c r="V64"/>
      <x:c r="W64"/>
      <x:c r="X64"/>
      <x:c r="Y64" s="15" t="b">
        <x:v>1</x:v>
      </x:c>
      <x:c r="Z64" s="15" t="b">
        <x:v>0</x:v>
      </x:c>
      <x:c r="AA64" s="15" t="b">
        <x:v>1</x:v>
      </x:c>
      <x:c r="AB64" s="15" t="b">
        <x:v>1</x:v>
      </x:c>
      <x:c r="AC64" t="str">
        <x:v>Spodoptera|XP_035454997.2</x:v>
      </x:c>
      <x:c r="AD64" s="19" t="n">
        <x:v>0</x:v>
      </x:c>
      <x:c r="AE64" t="n">
        <x:v>689</x:v>
      </x:c>
      <x:c r="AF64" t="n">
        <x:v>67.88</x:v>
      </x:c>
      <x:c r="AG64" t="n">
        <x:v>88.447</x:v>
      </x:c>
      <x:c r="AH64" t="n">
        <x:v>89.4636</x:v>
      </x:c>
      <x:c r="AI64" t="str">
        <x:v>sp|P41713|UDPE_NPVLD</x:v>
      </x:c>
      <x:c r="AJ64" t="str">
        <x:v>sp|P41713|UDPE_NPVLD Ecdysteroid UDP-glucosyltransferase OS=Lymantria dispar multicapsid nuclear polyhedrosis virus OX=10449 GN=EGT PE=3 SV=2</x:v>
      </x:c>
      <x:c r="AK64" s="19" t="n">
        <x:v>5.73e-90</x:v>
      </x:c>
      <x:c r="AL64" t="n">
        <x:v>288</x:v>
      </x:c>
      <x:c r="AM64" t="n">
        <x:v>34.9</x:v>
      </x:c>
      <x:c r="AN64" t="n">
        <x:v>90.15151515151516</x:v>
      </x:c>
      <x:c r="AO64" t="n">
        <x:v>94.07114624505928</x:v>
      </x:c>
      <x:c r="AP64" t="n">
        <x:v>0</x:v>
      </x:c>
      <x:c r="AQ64" t="n">
        <x:v>0</x:v>
      </x:c>
      <x:c r="AR64" t="str">
        <x:v>UGT_C001</x:v>
      </x:c>
      <x:c r="AS64" t="n">
        <x:v>15</x:v>
      </x:c>
      <x:c r="AT64" s="17" t="n">
        <x:f>AVERAGE(E64:G64)</x:f>
        <x:v>0.996757</x:v>
      </x:c>
      <x:c r="AU64" s="17" t="n">
        <x:f>STDEV.S(E64:G64)</x:f>
        <x:v>0.45760754933895054</x:v>
      </x:c>
      <x:c r="AV64" s="17" t="n">
        <x:f>AVERAGE(H64:J64)</x:f>
        <x:v>0.21718566666666664</x:v>
      </x:c>
      <x:c r="AW64" s="17" t="n">
        <x:f>STDEV.S(H64:J64)</x:f>
        <x:v>0.08024154485260944</x:v>
      </x:c>
      <x:c r="AX64" s="17" t="n">
        <x:f>AV64-AT64</x:f>
        <x:v>-0.7795713333333334</x:v>
      </x:c>
      <x:c r="AY64" s="17" t="n">
        <x:f>LOG((AV64+1)/(AT64+1),2)</x:f>
        <x:v>-0.7141095211478039</x:v>
      </x:c>
      <x:c r="AZ64" s="17" t="n">
        <x:f>AVERAGE(E64:J64)</x:f>
        <x:v>0.6069713333333333</x:v>
      </x:c>
      <x:c r="BA64" s="17" t="n">
        <x:f>MAX(E64:J64)</x:f>
        <x:v>1.316953</x:v>
      </x:c>
      <x:c r="BB64" s="20" t="n">
        <x:f>IF(Q64="provisional_HQ_domain",2,0)+IF(Y64,1,0)+IF(AB64,1,0)+IF(AI64&lt;&gt;"",1,0)+IF(AP64+AQ64&gt;0,1,0)</x:f>
        <x:v>5</x:v>
      </x:c>
      <x:c r="BC64" t="str">
        <x:f>IF(OR(ISNUMBER(SEARCH("exclude",U64)),ISNUMBER(SEARCH("hold",U64)),ISNUMBER(SEARCH("hold",W64))),"Review",IF(BB64&gt;=5,"Strong multi-evidence",IF(BB64&gt;=3,"Supported","Weak/inspect")))</x:f>
        <x:v>Strong multi-evidence</x:v>
      </x:c>
    </x:row>
    <x:row r="65">
      <x:c r="A65" t="str">
        <x:v>UGT</x:v>
      </x:c>
      <x:c r="B65" t="str">
        <x:v>TRINITY_DN41259_c0_g1</x:v>
      </x:c>
      <x:c r="C65" t="str">
        <x:v>no</x:v>
      </x:c>
      <x:c r="D65" t="n">
        <x:v>1</x:v>
      </x:c>
      <x:c r="E65" s="17" t="n">
        <x:v>0</x:v>
      </x:c>
      <x:c r="F65" s="17" t="n">
        <x:v>0.199383</x:v>
      </x:c>
      <x:c r="G65" s="17" t="n">
        <x:v>0.015886</x:v>
      </x:c>
      <x:c r="H65" s="17" t="n">
        <x:v>0.13243</x:v>
      </x:c>
      <x:c r="I65" s="17" t="n">
        <x:v>0.163409</x:v>
      </x:c>
      <x:c r="J65" s="17" t="n">
        <x:v>0.133702</x:v>
      </x:c>
      <x:c r="K65" s="17" t="n">
        <x:v>0.07550074</x:v>
      </x:c>
      <x:c r="L65" s="17" t="n">
        <x:v>0.11740686</x:v>
      </x:c>
      <x:c r="M65" s="17" t="n">
        <x:v>0.041906120000000005</x:v>
      </x:c>
      <x:c r="N65" s="18" t="n">
        <x:v>0.999999010765626</x:v>
      </x:c>
      <x:c r="O65" t="str">
        <x:v>TRINITY_DN41259_c0_g1_i1.p1</x:v>
      </x:c>
      <x:c r="P65" t="n">
        <x:v>238</x:v>
      </x:c>
      <x:c r="Q65" t="str">
        <x:v>review</x:v>
      </x:c>
      <x:c r="R65" t="str">
        <x:v>no_family_defining_domain_in_current_core_table</x:v>
      </x:c>
      <x:c r="S65" t="str">
        <x:v>IPR005828;PF00083</x:v>
      </x:c>
      <x:c r="T65" t="str">
        <x:v>Major facilitator,  sugar transporter-like;Sugar (and other) transporter</x:v>
      </x:c>
      <x:c r="U65" t="str">
        <x:v>exclude_from_canonical_UGT</x:v>
      </x:c>
      <x:c r="V65" t="str">
        <x:v>alternative domain architecture; PF00201/IPR002213 absent</x:v>
      </x:c>
      <x:c r="W65"/>
      <x:c r="X65"/>
      <x:c r="Y65" s="15" t="b">
        <x:v>1</x:v>
      </x:c>
      <x:c r="Z65" s="15" t="b">
        <x:v>0</x:v>
      </x:c>
      <x:c r="AA65" s="15" t="b">
        <x:v>1</x:v>
      </x:c>
      <x:c r="AB65" s="15" t="b">
        <x:v>1</x:v>
      </x:c>
      <x:c r="AC65" t="str">
        <x:v>Spodoptera|XP_035456846.2</x:v>
      </x:c>
      <x:c r="AD65" s="19" t="n">
        <x:v>4.2e-144</x:v>
      </x:c>
      <x:c r="AE65" t="n">
        <x:v>405</x:v>
      </x:c>
      <x:c r="AF65" t="n">
        <x:v>79.832</x:v>
      </x:c>
      <x:c r="AG65" t="n">
        <x:v>100</x:v>
      </x:c>
      <x:c r="AH65" t="n">
        <x:v>47.2222</x:v>
      </x:c>
      <x:c r="AI65" t="str">
        <x:v>sp|B0WC46|TRET1_CULQU</x:v>
      </x:c>
      <x:c r="AJ65" t="str">
        <x:v>sp|B0WC46|TRET1_CULQU Facilitated trehalose transporter Tret1 OS=Culex quinquefasciatus OX=7176 GN=Tret1 PE=3 SV=1</x:v>
      </x:c>
      <x:c r="AK65" s="19" t="n">
        <x:v>1.24e-19</x:v>
      </x:c>
      <x:c r="AL65" t="n">
        <x:v>90.5</x:v>
      </x:c>
      <x:c r="AM65" t="n">
        <x:v>27.2</x:v>
      </x:c>
      <x:c r="AN65" t="n">
        <x:v>91.17647058823529</x:v>
      </x:c>
      <x:c r="AO65" t="n">
        <x:v>41.97292069632495</x:v>
      </x:c>
      <x:c r="AP65" t="n">
        <x:v>0</x:v>
      </x:c>
      <x:c r="AQ65" t="n">
        <x:v>0</x:v>
      </x:c>
      <x:c r="AR65" t="str">
        <x:v>UGT_C009</x:v>
      </x:c>
      <x:c r="AS65" t="n">
        <x:v>1</x:v>
      </x:c>
      <x:c r="AT65" s="17" t="n">
        <x:f>AVERAGE(E65:G65)</x:f>
        <x:v>0.07175633333333334</x:v>
      </x:c>
      <x:c r="AU65" s="17" t="n">
        <x:f>STDEV.S(E65:G65)</x:f>
        <x:v>0.11081297659720785</x:v>
      </x:c>
      <x:c r="AV65" s="17" t="n">
        <x:f>AVERAGE(H65:J65)</x:f>
        <x:v>0.14318033333333333</x:v>
      </x:c>
      <x:c r="AW65" s="17" t="n">
        <x:f>STDEV.S(H65:J65)</x:f>
        <x:v>0.017530080214686227</x:v>
      </x:c>
      <x:c r="AX65" s="17" t="n">
        <x:f>AV65-AT65</x:f>
        <x:v>0.07142399999999999</x:v>
      </x:c>
      <x:c r="AY65" s="17" t="n">
        <x:f>LOG((AV65+1)/(AT65+1),2)</x:f>
        <x:v>0.09307605989862952</x:v>
      </x:c>
      <x:c r="AZ65" s="17" t="n">
        <x:f>AVERAGE(E65:J65)</x:f>
        <x:v>0.10746833333333333</x:v>
      </x:c>
      <x:c r="BA65" s="17" t="n">
        <x:f>MAX(E65:J65)</x:f>
        <x:v>0.199383</x:v>
      </x:c>
      <x:c r="BB65" s="20" t="n">
        <x:f>IF(Q65="provisional_HQ_domain",2,0)+IF(Y65,1,0)+IF(AB65,1,0)+IF(AI65&lt;&gt;"",1,0)+IF(AP65+AQ65&gt;0,1,0)</x:f>
        <x:v>3</x:v>
      </x:c>
      <x:c r="BC65" t="str">
        <x:f>IF(OR(ISNUMBER(SEARCH("exclude",U65)),ISNUMBER(SEARCH("hold",U65)),ISNUMBER(SEARCH("hold",W65))),"Review",IF(BB65&gt;=5,"Strong multi-evidence",IF(BB65&gt;=3,"Supported","Weak/inspect")))</x:f>
        <x:v>Review</x:v>
      </x:c>
    </x:row>
    <x:row r="66">
      <x:c r="A66" t="str">
        <x:v>UGT</x:v>
      </x:c>
      <x:c r="B66" t="str">
        <x:v>TRINITY_DN5199_c0_g1</x:v>
      </x:c>
      <x:c r="C66" t="str">
        <x:v>yes</x:v>
      </x:c>
      <x:c r="D66" t="n">
        <x:v>1</x:v>
      </x:c>
      <x:c r="E66" s="17" t="n">
        <x:v>2.191733</x:v>
      </x:c>
      <x:c r="F66" s="17" t="n">
        <x:v>3.018588</x:v>
      </x:c>
      <x:c r="G66" s="17" t="n">
        <x:v>3.269663</x:v>
      </x:c>
      <x:c r="H66" s="17" t="n">
        <x:v>1.561503</x:v>
      </x:c>
      <x:c r="I66" s="17" t="n">
        <x:v>1.421593</x:v>
      </x:c>
      <x:c r="J66" s="17" t="n">
        <x:v>3.765416</x:v>
      </x:c>
      <x:c r="K66" s="17" t="n">
        <x:v>2.3534316</x:v>
      </x:c>
      <x:c r="L66" s="17" t="n">
        <x:v>2.0142884000000003</x:v>
      </x:c>
      <x:c r="M66" s="17" t="n">
        <x:v>-0.33914319999999964</x:v>
      </x:c>
      <x:c r="N66" s="18" t="n">
        <x:v>0.987899079503749</x:v>
      </x:c>
      <x:c r="O66" t="str">
        <x:v>TRINITY_DN5199_c0_g1_i1.p1</x:v>
      </x:c>
      <x:c r="P66" t="n">
        <x:v>526</x:v>
      </x:c>
      <x:c r="Q66" t="str">
        <x:v>provisional_HQ_domain</x:v>
      </x:c>
      <x:c r="R66" t="str">
        <x:v>family_defining_domain_detected</x:v>
      </x:c>
      <x:c r="S66" t="str">
        <x:v>IPR002213;PF00201</x:v>
      </x:c>
      <x:c r="T66" t="str">
        <x:v>UDP-glucoronosyl and UDP-glucosyl transferase;UDP-glucuronosyl/UDP-glucosyltransferase</x:v>
      </x:c>
      <x:c r="U66"/>
      <x:c r="V66"/>
      <x:c r="W66"/>
      <x:c r="X66"/>
      <x:c r="Y66" s="15" t="b">
        <x:v>1</x:v>
      </x:c>
      <x:c r="Z66" s="15" t="b">
        <x:v>0</x:v>
      </x:c>
      <x:c r="AA66" s="15" t="b">
        <x:v>1</x:v>
      </x:c>
      <x:c r="AB66" s="15" t="b">
        <x:v>1</x:v>
      </x:c>
      <x:c r="AC66" t="str">
        <x:v>Spodoptera|XP_050559218.1</x:v>
      </x:c>
      <x:c r="AD66" s="19" t="n">
        <x:v>0</x:v>
      </x:c>
      <x:c r="AE66" t="n">
        <x:v>752</x:v>
      </x:c>
      <x:c r="AF66" t="n">
        <x:v>69.583</x:v>
      </x:c>
      <x:c r="AG66" t="n">
        <x:v>95.8095</x:v>
      </x:c>
      <x:c r="AH66" t="n">
        <x:v>94.9057</x:v>
      </x:c>
      <x:c r="AI66" t="str">
        <x:v>sp|A0A291PQF1|UGT5_DACCO</x:v>
      </x:c>
      <x:c r="AJ66" t="str">
        <x:v>sp|A0A291PQF1|UGT5_DACCO UDP-glycosyltransferase UGT5 OS=Dactylopius coccus OX=765876 GN=UGT5 PE=1 SV=1</x:v>
      </x:c>
      <x:c r="AK66" s="19" t="n">
        <x:v>7.35e-39</x:v>
      </x:c>
      <x:c r="AL66" t="n">
        <x:v>152</x:v>
      </x:c>
      <x:c r="AM66" t="n">
        <x:v>25.1</x:v>
      </x:c>
      <x:c r="AN66" t="n">
        <x:v>92.76190476190476</x:v>
      </x:c>
      <x:c r="AO66" t="n">
        <x:v>92.58555133079848</x:v>
      </x:c>
      <x:c r="AP66" t="n">
        <x:v>0</x:v>
      </x:c>
      <x:c r="AQ66" t="n">
        <x:v>0</x:v>
      </x:c>
      <x:c r="AR66" t="str">
        <x:v>UGT_C001</x:v>
      </x:c>
      <x:c r="AS66" t="n">
        <x:v>15</x:v>
      </x:c>
      <x:c r="AT66" s="17" t="n">
        <x:f>AVERAGE(E66:G66)</x:f>
        <x:v>2.8266613333333335</x:v>
      </x:c>
      <x:c r="AU66" s="17" t="n">
        <x:f>STDEV.S(E66:G66)</x:f>
        <x:v>0.5640125488482798</x:v>
      </x:c>
      <x:c r="AV66" s="17" t="n">
        <x:f>AVERAGE(H66:J66)</x:f>
        <x:v>2.249504</x:v>
      </x:c>
      <x:c r="AW66" s="17" t="n">
        <x:f>STDEV.S(H66:J66)</x:f>
        <x:v>1.3146807961756344</x:v>
      </x:c>
      <x:c r="AX66" s="17" t="n">
        <x:f>AV66-AT66</x:f>
        <x:v>-0.5771573333333335</x:v>
      </x:c>
      <x:c r="AY66" s="17" t="n">
        <x:f>LOG((AV66+1)/(AT66+1),2)</x:f>
        <x:v>-0.23586670157400938</x:v>
      </x:c>
      <x:c r="AZ66" s="17" t="n">
        <x:f>AVERAGE(E66:J66)</x:f>
        <x:v>2.5380826666666665</x:v>
      </x:c>
      <x:c r="BA66" s="17" t="n">
        <x:f>MAX(E66:J66)</x:f>
        <x:v>3.765416</x:v>
      </x:c>
      <x:c r="BB66" s="20" t="n">
        <x:f>IF(Q66="provisional_HQ_domain",2,0)+IF(Y66,1,0)+IF(AB66,1,0)+IF(AI66&lt;&gt;"",1,0)+IF(AP66+AQ66&gt;0,1,0)</x:f>
        <x:v>5</x:v>
      </x:c>
      <x:c r="BC66" t="str">
        <x:f>IF(OR(ISNUMBER(SEARCH("exclude",U66)),ISNUMBER(SEARCH("hold",U66)),ISNUMBER(SEARCH("hold",W66))),"Review",IF(BB66&gt;=5,"Strong multi-evidence",IF(BB66&gt;=3,"Supported","Weak/inspect")))</x:f>
        <x:v>Strong multi-evidence</x:v>
      </x:c>
    </x:row>
    <x:row r="67">
      <x:c r="A67" t="str">
        <x:v>UGT</x:v>
      </x:c>
      <x:c r="B67" t="str">
        <x:v>TRINITY_DN5252_c0_g3</x:v>
      </x:c>
      <x:c r="C67" t="str">
        <x:v>no</x:v>
      </x:c>
      <x:c r="D67" t="n">
        <x:v>1</x:v>
      </x:c>
      <x:c r="E67" s="17" t="n">
        <x:v>1.29303</x:v>
      </x:c>
      <x:c r="F67" s="17" t="n">
        <x:v>1.151784</x:v>
      </x:c>
      <x:c r="G67" s="17" t="n">
        <x:v>0.048143</x:v>
      </x:c>
      <x:c r="H67" s="17" t="n">
        <x:v>1.0726</x:v>
      </x:c>
      <x:c r="I67" s="17" t="n">
        <x:v>0.834281</x:v>
      </x:c>
      <x:c r="J67" s="17" t="n">
        <x:v>0.916146</x:v>
      </x:c>
      <x:c r="K67" s="17" t="n">
        <x:v>0.7760984</x:v>
      </x:c>
      <x:c r="L67" s="17" t="n">
        <x:v>0.772581</x:v>
      </x:c>
      <x:c r="M67" s="17" t="n">
        <x:v>-0.003517400000000004</x:v>
      </x:c>
      <x:c r="N67" s="18" t="n">
        <x:v>0.999999010765626</x:v>
      </x:c>
      <x:c r="O67" t="str">
        <x:v>TRINITY_DN5252_c0_g3_i1.p1</x:v>
      </x:c>
      <x:c r="P67" t="n">
        <x:v>166</x:v>
      </x:c>
      <x:c r="Q67" t="str">
        <x:v>provisional_HQ_domain</x:v>
      </x:c>
      <x:c r="R67" t="str">
        <x:v>family_defining_domain_detected</x:v>
      </x:c>
      <x:c r="S67" t="str">
        <x:v>IPR002213;PF00201</x:v>
      </x:c>
      <x:c r="T67" t="str">
        <x:v>UDP-glucoronosyl and UDP-glucosyl transferase;UDP-glucuronosyl/UDP-glucosyltransferase</x:v>
      </x:c>
      <x:c r="U67"/>
      <x:c r="V67"/>
      <x:c r="W67"/>
      <x:c r="X67"/>
      <x:c r="Y67" s="15" t="b">
        <x:v>1</x:v>
      </x:c>
      <x:c r="Z67" s="15" t="b">
        <x:v>0</x:v>
      </x:c>
      <x:c r="AA67" s="15" t="b">
        <x:v>1</x:v>
      </x:c>
      <x:c r="AB67" s="15" t="b">
        <x:v>0</x:v>
      </x:c>
      <x:c r="AC67" t="str">
        <x:v>Spodoptera|XP_050554451.1</x:v>
      </x:c>
      <x:c r="AD67" s="19" t="n">
        <x:v>1.71e-96</x:v>
      </x:c>
      <x:c r="AE67" t="n">
        <x:v>281</x:v>
      </x:c>
      <x:c r="AF67" t="n">
        <x:v>76.506</x:v>
      </x:c>
      <x:c r="AG67" t="n">
        <x:v>100</x:v>
      </x:c>
      <x:c r="AH67" t="n">
        <x:v>32.1705</x:v>
      </x:c>
      <x:c r="AI67" t="str">
        <x:v>sp|P36513|UDB14_RABIT</x:v>
      </x:c>
      <x:c r="AJ67" t="str">
        <x:v>sp|P36513|UDB14_RABIT UDP-glucuronosyltransferase 2B14 OS=Oryctolagus cuniculus OX=9986 GN=UGT2B14 PE=2 SV=1</x:v>
      </x:c>
      <x:c r="AK67" s="19" t="n">
        <x:v>7.61e-41</x:v>
      </x:c>
      <x:c r="AL67" t="n">
        <x:v>146</x:v>
      </x:c>
      <x:c r="AM67" t="n">
        <x:v>44</x:v>
      </x:c>
      <x:c r="AN67" t="n">
        <x:v>95.78313253012048</x:v>
      </x:c>
      <x:c r="AO67" t="n">
        <x:v>30</x:v>
      </x:c>
      <x:c r="AP67" t="n">
        <x:v>0</x:v>
      </x:c>
      <x:c r="AQ67" t="n">
        <x:v>0</x:v>
      </x:c>
      <x:c r="AR67" t="str">
        <x:v>UGT_C002</x:v>
      </x:c>
      <x:c r="AS67" t="n">
        <x:v>7</x:v>
      </x:c>
      <x:c r="AT67" s="17" t="n">
        <x:f>AVERAGE(E67:G67)</x:f>
        <x:v>0.8309856666666667</x:v>
      </x:c>
      <x:c r="AU67" s="17" t="n">
        <x:f>STDEV.S(E67:G67)</x:f>
        <x:v>0.6816300966758534</x:v>
      </x:c>
      <x:c r="AV67" s="17" t="n">
        <x:f>AVERAGE(H67:J67)</x:f>
        <x:v>0.9410090000000001</x:v>
      </x:c>
      <x:c r="AW67" s="17" t="n">
        <x:f>STDEV.S(H67:J67)</x:f>
        <x:v>0.12108927705209903</x:v>
      </x:c>
      <x:c r="AX67" s="17" t="n">
        <x:f>AV67-AT67</x:f>
        <x:v>0.11002333333333336</x:v>
      </x:c>
      <x:c r="AY67" s="17" t="n">
        <x:f>LOG((AV67+1)/(AT67+1),2)</x:f>
        <x:v>0.08418631003782484</x:v>
      </x:c>
      <x:c r="AZ67" s="17" t="n">
        <x:f>AVERAGE(E67:J67)</x:f>
        <x:v>0.8859973333333334</x:v>
      </x:c>
      <x:c r="BA67" s="17" t="n">
        <x:f>MAX(E67:J67)</x:f>
        <x:v>1.29303</x:v>
      </x:c>
      <x:c r="BB67" s="20" t="n">
        <x:f>IF(Q67="provisional_HQ_domain",2,0)+IF(Y67,1,0)+IF(AB67,1,0)+IF(AI67&lt;&gt;"",1,0)+IF(AP67+AQ67&gt;0,1,0)</x:f>
        <x:v>4</x:v>
      </x:c>
      <x:c r="BC67" t="str">
        <x:f>IF(OR(ISNUMBER(SEARCH("exclude",U67)),ISNUMBER(SEARCH("hold",U67)),ISNUMBER(SEARCH("hold",W67))),"Review",IF(BB67&gt;=5,"Strong multi-evidence",IF(BB67&gt;=3,"Supported","Weak/inspect")))</x:f>
        <x:v>Supported</x:v>
      </x:c>
    </x:row>
    <x:row r="68">
      <x:c r="A68" t="str">
        <x:v>UGT</x:v>
      </x:c>
      <x:c r="B68" t="str">
        <x:v>TRINITY_DN566_c0_g2</x:v>
      </x:c>
      <x:c r="C68" t="str">
        <x:v>no</x:v>
      </x:c>
      <x:c r="D68" t="n">
        <x:v>2</x:v>
      </x:c>
      <x:c r="E68" s="17" t="n">
        <x:v>1.746635</x:v>
      </x:c>
      <x:c r="F68" s="17" t="n">
        <x:v>7.336517</x:v>
      </x:c>
      <x:c r="G68" s="17" t="n">
        <x:v>3.519595</x:v>
      </x:c>
      <x:c r="H68" s="17" t="n">
        <x:v>27.848549</x:v>
      </x:c>
      <x:c r="I68" s="17" t="n">
        <x:v>36.628184000000005</x:v>
      </x:c>
      <x:c r="J68" s="17" t="n">
        <x:v>46.396887</x:v>
      </x:c>
      <x:c r="K68" s="17" t="n">
        <x:v>4.150674</x:v>
      </x:c>
      <x:c r="L68" s="17" t="n">
        <x:v>33.999472000000004</x:v>
      </x:c>
      <x:c r="M68" s="17" t="n">
        <x:v>29.848798000000002</x:v>
      </x:c>
      <x:c r="N68" s="18" t="n">
        <x:v>0.314695996490341</x:v>
      </x:c>
      <x:c r="O68" t="str">
        <x:v>TRINITY_DN566_c0_g2_i1.p1</x:v>
      </x:c>
      <x:c r="P68" t="n">
        <x:v>492</x:v>
      </x:c>
      <x:c r="Q68" t="str">
        <x:v>review</x:v>
      </x:c>
      <x:c r="R68" t="str">
        <x:v>no_family_defining_domain_in_current_core_table</x:v>
      </x:c>
      <x:c r="S68" t="str">
        <x:v>IPR005828;PF00083</x:v>
      </x:c>
      <x:c r="T68" t="str">
        <x:v>Major facilitator,  sugar transporter-like;Sugar (and other) transporter</x:v>
      </x:c>
      <x:c r="U68" t="str">
        <x:v>exclude_from_canonical_UGT</x:v>
      </x:c>
      <x:c r="V68" t="str">
        <x:v>alternative domain architecture; PF00201/IPR002213 absent</x:v>
      </x:c>
      <x:c r="W68"/>
      <x:c r="X68"/>
      <x:c r="Y68" s="15" t="b">
        <x:v>0</x:v>
      </x:c>
      <x:c r="Z68" s="15" t="b">
        <x:v>0</x:v>
      </x:c>
      <x:c r="AA68" s="15" t="b">
        <x:v>1</x:v>
      </x:c>
      <x:c r="AB68" s="15" t="b">
        <x:v>1</x:v>
      </x:c>
      <x:c r="AC68" t="str">
        <x:v>Spodoptera|XP_050552501.1</x:v>
      </x:c>
      <x:c r="AD68" s="19" t="n">
        <x:v>0</x:v>
      </x:c>
      <x:c r="AE68" t="n">
        <x:v>819</x:v>
      </x:c>
      <x:c r="AF68" t="n">
        <x:v>84.016</x:v>
      </x:c>
      <x:c r="AG68" t="n">
        <x:v>99.389</x:v>
      </x:c>
      <x:c r="AH68" t="n">
        <x:v>99.5918</x:v>
      </x:c>
      <x:c r="AI68" t="str">
        <x:v>sp|A5LGM7|TRET1_POLVA</x:v>
      </x:c>
      <x:c r="AJ68" t="str">
        <x:v>sp|A5LGM7|TRET1_POLVA Facilitated trehalose transporter Tret1 OS=Polypedilum vanderplanki OX=319348 GN=Tret1 PE=1 SV=1</x:v>
      </x:c>
      <x:c r="AK68" s="19" t="n">
        <x:v>6.18e-33</x:v>
      </x:c>
      <x:c r="AL68" t="n">
        <x:v>134</x:v>
      </x:c>
      <x:c r="AM68" t="n">
        <x:v>26.9</x:v>
      </x:c>
      <x:c r="AN68" t="n">
        <x:v>97.55600814663951</x:v>
      </x:c>
      <x:c r="AO68" t="n">
        <x:v>95.03968253968254</x:v>
      </x:c>
      <x:c r="AP68" t="n">
        <x:v>0</x:v>
      </x:c>
      <x:c r="AQ68" t="n">
        <x:v>0</x:v>
      </x:c>
      <x:c r="AR68" t="str">
        <x:v>UGT_C010</x:v>
      </x:c>
      <x:c r="AS68" t="n">
        <x:v>1</x:v>
      </x:c>
      <x:c r="AT68" s="17" t="n">
        <x:f>AVERAGE(E68:G68)</x:f>
        <x:v>4.200915666666667</x:v>
      </x:c>
      <x:c r="AU68" s="17" t="n">
        <x:f>STDEV.S(E68:G68)</x:f>
        <x:v>2.85654399258988</x:v>
      </x:c>
      <x:c r="AV68" s="17" t="n">
        <x:f>AVERAGE(H68:J68)</x:f>
        <x:v>36.95787333333333</x:v>
      </x:c>
      <x:c r="AW68" s="17" t="n">
        <x:f>STDEV.S(H68:J68)</x:f>
        <x:v>9.27856303168472</x:v>
      </x:c>
      <x:c r="AX68" s="17" t="n">
        <x:f>AV68-AT68</x:f>
        <x:v>32.756957666666665</x:v>
      </x:c>
      <x:c r="AY68" s="17" t="n">
        <x:f>LOG((AV68+1)/(AT68+1),2)</x:f>
        <x:v>2.867561614912535</x:v>
      </x:c>
      <x:c r="AZ68" s="17" t="n">
        <x:f>AVERAGE(E68:J68)</x:f>
        <x:v>20.579394500000003</x:v>
      </x:c>
      <x:c r="BA68" s="17" t="n">
        <x:f>MAX(E68:J68)</x:f>
        <x:v>46.396887</x:v>
      </x:c>
      <x:c r="BB68" s="20" t="n">
        <x:f>IF(Q68="provisional_HQ_domain",2,0)+IF(Y68,1,0)+IF(AB68,1,0)+IF(AI68&lt;&gt;"",1,0)+IF(AP68+AQ68&gt;0,1,0)</x:f>
        <x:v>2</x:v>
      </x:c>
      <x:c r="BC68" t="str">
        <x:f>IF(OR(ISNUMBER(SEARCH("exclude",U68)),ISNUMBER(SEARCH("hold",U68)),ISNUMBER(SEARCH("hold",W68))),"Review",IF(BB68&gt;=5,"Strong multi-evidence",IF(BB68&gt;=3,"Supported","Weak/inspect")))</x:f>
        <x:v>Review</x:v>
      </x:c>
    </x:row>
    <x:row r="69">
      <x:c r="A69" t="str">
        <x:v>UGT</x:v>
      </x:c>
      <x:c r="B69" t="str">
        <x:v>TRINITY_DN60107_c0_g1</x:v>
      </x:c>
      <x:c r="C69" t="str">
        <x:v>no</x:v>
      </x:c>
      <x:c r="D69" t="n">
        <x:v>1</x:v>
      </x:c>
      <x:c r="E69" s="17" t="n">
        <x:v>0</x:v>
      </x:c>
      <x:c r="F69" s="17" t="n">
        <x:v>0</x:v>
      </x:c>
      <x:c r="G69" s="17" t="n">
        <x:v>0</x:v>
      </x:c>
      <x:c r="H69" s="17" t="n">
        <x:v>0.151394</x:v>
      </x:c>
      <x:c r="I69" s="17" t="n">
        <x:v>0.288742</x:v>
      </x:c>
      <x:c r="J69" s="17" t="n">
        <x:v>0</x:v>
      </x:c>
      <x:c r="K69" s="17" t="n">
        <x:v>0</x:v>
      </x:c>
      <x:c r="L69" s="17" t="n">
        <x:v>0.14095459999999999</x:v>
      </x:c>
      <x:c r="M69" s="17" t="n">
        <x:v>0.14095459999999999</x:v>
      </x:c>
      <x:c r="N69" s="18"/>
      <x:c r="O69" t="str">
        <x:v>TRINITY_DN60107_c0_g1_i1.p1</x:v>
      </x:c>
      <x:c r="P69" t="n">
        <x:v>102</x:v>
      </x:c>
      <x:c r="Q69" t="str">
        <x:v>provisional_HQ_domain</x:v>
      </x:c>
      <x:c r="R69" t="str">
        <x:v>family_defining_domain_detected</x:v>
      </x:c>
      <x:c r="S69" t="str">
        <x:v>IPR002213;PF00201</x:v>
      </x:c>
      <x:c r="T69" t="str">
        <x:v>UDP-glucoronosyl and UDP-glucosyl transferase;UDP-glucuronosyl/UDP-glucosyltransferase</x:v>
      </x:c>
      <x:c r="U69"/>
      <x:c r="V69"/>
      <x:c r="W69"/>
      <x:c r="X69"/>
      <x:c r="Y69" s="15" t="b">
        <x:v>1</x:v>
      </x:c>
      <x:c r="Z69" s="15" t="b">
        <x:v>0</x:v>
      </x:c>
      <x:c r="AA69" s="15" t="b">
        <x:v>1</x:v>
      </x:c>
      <x:c r="AB69" s="15" t="b">
        <x:v>0</x:v>
      </x:c>
      <x:c r="AC69" t="str">
        <x:v>Spodoptera|XP_035434000.2</x:v>
      </x:c>
      <x:c r="AD69" s="19" t="n">
        <x:v>3.38e-63</x:v>
      </x:c>
      <x:c r="AE69" t="n">
        <x:v>192</x:v>
      </x:c>
      <x:c r="AF69" t="n">
        <x:v>85.294</x:v>
      </x:c>
      <x:c r="AG69" t="n">
        <x:v>100</x:v>
      </x:c>
      <x:c r="AH69" t="n">
        <x:v>19.3916</x:v>
      </x:c>
      <x:c r="AI69" t="str">
        <x:v>sp|A0A291PQH4|UGT2_DACCO</x:v>
      </x:c>
      <x:c r="AJ69" t="str">
        <x:v>sp|A0A291PQH4|UGT2_DACCO UDP-glucosyltransferase 2 OS=Dactylopius coccus OX=765876 GN=UTG2 PE=1 SV=1</x:v>
      </x:c>
      <x:c r="AK69" s="19" t="n">
        <x:v>2.53e-13</x:v>
      </x:c>
      <x:c r="AL69" t="n">
        <x:v>67.4</x:v>
      </x:c>
      <x:c r="AM69" t="n">
        <x:v>34</x:v>
      </x:c>
      <x:c r="AN69" t="n">
        <x:v>100.98039215686275</x:v>
      </x:c>
      <x:c r="AO69" t="n">
        <x:v>20</x:v>
      </x:c>
      <x:c r="AP69" t="n">
        <x:v>0</x:v>
      </x:c>
      <x:c r="AQ69" t="n">
        <x:v>0</x:v>
      </x:c>
      <x:c r="AR69" t="str">
        <x:v>UGT_C011</x:v>
      </x:c>
      <x:c r="AS69" t="n">
        <x:v>1</x:v>
      </x:c>
      <x:c r="AT69" s="17" t="n">
        <x:f>AVERAGE(E69:G69)</x:f>
        <x:v>0</x:v>
      </x:c>
      <x:c r="AU69" s="17" t="n">
        <x:f>STDEV.S(E69:G69)</x:f>
        <x:v>0</x:v>
      </x:c>
      <x:c r="AV69" s="17" t="n">
        <x:f>AVERAGE(H69:J69)</x:f>
        <x:v>0.14671199999999998</x:v>
      </x:c>
      <x:c r="AW69" s="17" t="n">
        <x:f>STDEV.S(H69:J69)</x:f>
        <x:v>0.14442792833797763</x:v>
      </x:c>
      <x:c r="AX69" s="17" t="n">
        <x:f>AV69-AT69</x:f>
        <x:v>0.14671199999999998</x:v>
      </x:c>
      <x:c r="AY69" s="17" t="n">
        <x:f>LOG((AV69+1)/(AT69+1),2)</x:f>
        <x:v>0.1975030998594618</x:v>
      </x:c>
      <x:c r="AZ69" s="17" t="n">
        <x:f>AVERAGE(E69:J69)</x:f>
        <x:v>0.07335599999999999</x:v>
      </x:c>
      <x:c r="BA69" s="17" t="n">
        <x:f>MAX(E69:J69)</x:f>
        <x:v>0.288742</x:v>
      </x:c>
      <x:c r="BB69" s="20" t="n">
        <x:f>IF(Q69="provisional_HQ_domain",2,0)+IF(Y69,1,0)+IF(AB69,1,0)+IF(AI69&lt;&gt;"",1,0)+IF(AP69+AQ69&gt;0,1,0)</x:f>
        <x:v>4</x:v>
      </x:c>
      <x:c r="BC69" t="str">
        <x:f>IF(OR(ISNUMBER(SEARCH("exclude",U69)),ISNUMBER(SEARCH("hold",U69)),ISNUMBER(SEARCH("hold",W69))),"Review",IF(BB69&gt;=5,"Strong multi-evidence",IF(BB69&gt;=3,"Supported","Weak/inspect")))</x:f>
        <x:v>Supported</x:v>
      </x:c>
    </x:row>
    <x:row r="70">
      <x:c r="A70" t="str">
        <x:v>UGT</x:v>
      </x:c>
      <x:c r="B70" t="str">
        <x:v>TRINITY_DN654_c0_g1</x:v>
      </x:c>
      <x:c r="C70" t="str">
        <x:v>yes</x:v>
      </x:c>
      <x:c r="D70" t="n">
        <x:v>2</x:v>
      </x:c>
      <x:c r="E70" s="17" t="n">
        <x:v>9.166821</x:v>
      </x:c>
      <x:c r="F70" s="17" t="n">
        <x:v>31.721735000000002</x:v>
      </x:c>
      <x:c r="G70" s="17" t="n">
        <x:v>3.038342</x:v>
      </x:c>
      <x:c r="H70" s="17" t="n">
        <x:v>34.639143000000004</x:v>
      </x:c>
      <x:c r="I70" s="17" t="n">
        <x:v>22.315785</x:v>
      </x:c>
      <x:c r="J70" s="17" t="n">
        <x:v>17.459799999999998</x:v>
      </x:c>
      <x:c r="K70" s="17" t="n">
        <x:v>14.180633600000002</x:v>
      </x:c>
      <x:c r="L70" s="17" t="n">
        <x:v>21.337083800000002</x:v>
      </x:c>
      <x:c r="M70" s="17" t="n">
        <x:v>7.1564502</x:v>
      </x:c>
      <x:c r="N70" s="18" t="n">
        <x:v>0.999999010765626</x:v>
      </x:c>
      <x:c r="O70" t="str">
        <x:v>TRINITY_DN654_c0_g1_i2.p1</x:v>
      </x:c>
      <x:c r="P70" t="n">
        <x:v>519</x:v>
      </x:c>
      <x:c r="Q70" t="str">
        <x:v>provisional_HQ_domain</x:v>
      </x:c>
      <x:c r="R70" t="str">
        <x:v>family_defining_domain_detected</x:v>
      </x:c>
      <x:c r="S70" t="str">
        <x:v>IPR002213;PF00201</x:v>
      </x:c>
      <x:c r="T70" t="str">
        <x:v>UDP-glucoronosyl and UDP-glucosyl transferase;UDP-glucuronosyl/UDP-glucosyltransferase</x:v>
      </x:c>
      <x:c r="U70"/>
      <x:c r="V70"/>
      <x:c r="W70"/>
      <x:c r="X70"/>
      <x:c r="Y70" s="15" t="b">
        <x:v>1</x:v>
      </x:c>
      <x:c r="Z70" s="15" t="b">
        <x:v>0</x:v>
      </x:c>
      <x:c r="AA70" s="15" t="b">
        <x:v>1</x:v>
      </x:c>
      <x:c r="AB70" s="15" t="b">
        <x:v>1</x:v>
      </x:c>
      <x:c r="AC70" t="str">
        <x:v>Spodoptera|XP_035452567.1</x:v>
      </x:c>
      <x:c r="AD70" s="19" t="n">
        <x:v>0</x:v>
      </x:c>
      <x:c r="AE70" t="n">
        <x:v>806</x:v>
      </x:c>
      <x:c r="AF70" t="n">
        <x:v>70.841</x:v>
      </x:c>
      <x:c r="AG70" t="n">
        <x:v>98.6486</x:v>
      </x:c>
      <x:c r="AH70" t="n">
        <x:v>97.7055</x:v>
      </x:c>
      <x:c r="AI70" t="str">
        <x:v>sp|A0A291PQH4|UGT2_DACCO</x:v>
      </x:c>
      <x:c r="AJ70" t="str">
        <x:v>sp|A0A291PQH4|UGT2_DACCO UDP-glucosyltransferase 2 OS=Dactylopius coccus OX=765876 GN=UTG2 PE=1 SV=1</x:v>
      </x:c>
      <x:c r="AK70" s="19" t="n">
        <x:v>6.42e-69</x:v>
      </x:c>
      <x:c r="AL70" t="n">
        <x:v>233</x:v>
      </x:c>
      <x:c r="AM70" t="n">
        <x:v>30.9</x:v>
      </x:c>
      <x:c r="AN70" t="n">
        <x:v>94.2084942084942</x:v>
      </x:c>
      <x:c r="AO70" t="n">
        <x:v>94.75728155339806</x:v>
      </x:c>
      <x:c r="AP70" t="n">
        <x:v>0</x:v>
      </x:c>
      <x:c r="AQ70" t="n">
        <x:v>0</x:v>
      </x:c>
      <x:c r="AR70" t="str">
        <x:v>UGT_C001</x:v>
      </x:c>
      <x:c r="AS70" t="n">
        <x:v>15</x:v>
      </x:c>
      <x:c r="AT70" s="17" t="n">
        <x:f>AVERAGE(E70:G70)</x:f>
        <x:v>14.642299333333334</x:v>
      </x:c>
      <x:c r="AU70" s="17" t="n">
        <x:f>STDEV.S(E70:G70)</x:f>
        <x:v>15.105293963780195</x:v>
      </x:c>
      <x:c r="AV70" s="17" t="n">
        <x:f>AVERAGE(H70:J70)</x:f>
        <x:v>24.804909333333338</x:v>
      </x:c>
      <x:c r="AW70" s="17" t="n">
        <x:f>STDEV.S(H70:J70)</x:f>
        <x:v>8.856029665601081</x:v>
      </x:c>
      <x:c r="AX70" s="17" t="n">
        <x:f>AV70-AT70</x:f>
        <x:v>10.162610000000004</x:v>
      </x:c>
      <x:c r="AY70" s="17" t="n">
        <x:f>LOG((AV70+1)/(AT70+1),2)</x:f>
        <x:v>0.7221929650641207</x:v>
      </x:c>
      <x:c r="AZ70" s="17" t="n">
        <x:f>AVERAGE(E70:J70)</x:f>
        <x:v>19.723604333333338</x:v>
      </x:c>
      <x:c r="BA70" s="17" t="n">
        <x:f>MAX(E70:J70)</x:f>
        <x:v>34.639143000000004</x:v>
      </x:c>
      <x:c r="BB70" s="20" t="n">
        <x:f>IF(Q70="provisional_HQ_domain",2,0)+IF(Y70,1,0)+IF(AB70,1,0)+IF(AI70&lt;&gt;"",1,0)+IF(AP70+AQ70&gt;0,1,0)</x:f>
        <x:v>5</x:v>
      </x:c>
      <x:c r="BC70" t="str">
        <x:f>IF(OR(ISNUMBER(SEARCH("exclude",U70)),ISNUMBER(SEARCH("hold",U70)),ISNUMBER(SEARCH("hold",W70))),"Review",IF(BB70&gt;=5,"Strong multi-evidence",IF(BB70&gt;=3,"Supported","Weak/inspect")))</x:f>
        <x:v>Strong multi-evidence</x:v>
      </x:c>
    </x:row>
    <x:row r="71">
      <x:c r="A71" t="str">
        <x:v>UGT</x:v>
      </x:c>
      <x:c r="B71" t="str">
        <x:v>TRINITY_DN6816_c0_g1</x:v>
      </x:c>
      <x:c r="C71" t="str">
        <x:v>yes</x:v>
      </x:c>
      <x:c r="D71" t="n">
        <x:v>6</x:v>
      </x:c>
      <x:c r="E71" s="17" t="n">
        <x:v>24.3708</x:v>
      </x:c>
      <x:c r="F71" s="17" t="n">
        <x:v>30.029187</x:v>
      </x:c>
      <x:c r="G71" s="17" t="n">
        <x:v>29.835898</x:v>
      </x:c>
      <x:c r="H71" s="17" t="n">
        <x:v>34.382098</x:v>
      </x:c>
      <x:c r="I71" s="17" t="n">
        <x:v>52.662732999999996</x:v>
      </x:c>
      <x:c r="J71" s="17" t="n">
        <x:v>41.431509</x:v>
      </x:c>
      <x:c r="K71" s="17" t="n">
        <x:v>24.46900026</x:v>
      </x:c>
      <x:c r="L71" s="17" t="n">
        <x:v>38.33739582</x:v>
      </x:c>
      <x:c r="M71" s="17" t="n">
        <x:v>13.868395559999996</x:v>
      </x:c>
      <x:c r="N71" s="18" t="n">
        <x:v>0.950615744526078</x:v>
      </x:c>
      <x:c r="O71" t="str">
        <x:v>TRINITY_DN6816_c0_g1_i13.p1</x:v>
      </x:c>
      <x:c r="P71" t="n">
        <x:v>519</x:v>
      </x:c>
      <x:c r="Q71" t="str">
        <x:v>provisional_HQ_domain</x:v>
      </x:c>
      <x:c r="R71" t="str">
        <x:v>family_defining_domain_detected</x:v>
      </x:c>
      <x:c r="S71" t="str">
        <x:v>IPR002213;PF00201</x:v>
      </x:c>
      <x:c r="T71" t="str">
        <x:v>UDP-glucoronosyl and UDP-glucosyl transferase;UDP-glucuronosyl/UDP-glucosyltransferase</x:v>
      </x:c>
      <x:c r="U71"/>
      <x:c r="V71"/>
      <x:c r="W71"/>
      <x:c r="X71"/>
      <x:c r="Y71" s="15" t="b">
        <x:v>1</x:v>
      </x:c>
      <x:c r="Z71" s="15" t="b">
        <x:v>0</x:v>
      </x:c>
      <x:c r="AA71" s="15" t="b">
        <x:v>1</x:v>
      </x:c>
      <x:c r="AB71" s="15" t="b">
        <x:v>1</x:v>
      </x:c>
      <x:c r="AC71" t="str">
        <x:v>Spodoptera|XP_035458586.2</x:v>
      </x:c>
      <x:c r="AD71" s="19" t="n">
        <x:v>0</x:v>
      </x:c>
      <x:c r="AE71" t="n">
        <x:v>737</x:v>
      </x:c>
      <x:c r="AF71" t="n">
        <x:v>70.04</x:v>
      </x:c>
      <x:c r="AG71" t="n">
        <x:v>97.2973</x:v>
      </x:c>
      <x:c r="AH71" t="n">
        <x:v>97.6744</x:v>
      </x:c>
      <x:c r="AI71" t="str">
        <x:v>sp|A0A291PQH4|UGT2_DACCO</x:v>
      </x:c>
      <x:c r="AJ71" t="str">
        <x:v>sp|A0A291PQH4|UGT2_DACCO UDP-glucosyltransferase 2 OS=Dactylopius coccus OX=765876 GN=UTG2 PE=1 SV=1</x:v>
      </x:c>
      <x:c r="AK71" s="19" t="n">
        <x:v>5.77e-71</x:v>
      </x:c>
      <x:c r="AL71" t="n">
        <x:v>238</x:v>
      </x:c>
      <x:c r="AM71" t="n">
        <x:v>33.4</x:v>
      </x:c>
      <x:c r="AN71" t="n">
        <x:v>91.89189189189189</x:v>
      </x:c>
      <x:c r="AO71" t="n">
        <x:v>92.42718446601941</x:v>
      </x:c>
      <x:c r="AP71" t="n">
        <x:v>0</x:v>
      </x:c>
      <x:c r="AQ71" t="n">
        <x:v>0</x:v>
      </x:c>
      <x:c r="AR71" t="str">
        <x:v>UGT_C001</x:v>
      </x:c>
      <x:c r="AS71" t="n">
        <x:v>15</x:v>
      </x:c>
      <x:c r="AT71" s="17" t="n">
        <x:f>AVERAGE(E71:G71)</x:f>
        <x:v>28.07862833333333</x:v>
      </x:c>
      <x:c r="AU71" s="17" t="n">
        <x:f>STDEV.S(E71:G71)</x:f>
        <x:v>3.212527567427607</x:v>
      </x:c>
      <x:c r="AV71" s="17" t="n">
        <x:f>AVERAGE(H71:J71)</x:f>
        <x:v>42.825446666666664</x:v>
      </x:c>
      <x:c r="AW71" s="17" t="n">
        <x:f>STDEV.S(H71:J71)</x:f>
        <x:v>9.21969092023807</x:v>
      </x:c>
      <x:c r="AX71" s="17" t="n">
        <x:f>AV71-AT71</x:f>
        <x:v>14.746818333333334</x:v>
      </x:c>
      <x:c r="AY71" s="17" t="n">
        <x:f>LOG((AV71+1)/(AT71+1),2)</x:f>
        <x:v>0.5918095773725874</x:v>
      </x:c>
      <x:c r="AZ71" s="17" t="n">
        <x:f>AVERAGE(E71:J71)</x:f>
        <x:v>35.452037499999996</x:v>
      </x:c>
      <x:c r="BA71" s="17" t="n">
        <x:f>MAX(E71:J71)</x:f>
        <x:v>52.662732999999996</x:v>
      </x:c>
      <x:c r="BB71" s="20" t="n">
        <x:f>IF(Q71="provisional_HQ_domain",2,0)+IF(Y71,1,0)+IF(AB71,1,0)+IF(AI71&lt;&gt;"",1,0)+IF(AP71+AQ71&gt;0,1,0)</x:f>
        <x:v>5</x:v>
      </x:c>
      <x:c r="BC71" t="str">
        <x:f>IF(OR(ISNUMBER(SEARCH("exclude",U71)),ISNUMBER(SEARCH("hold",U71)),ISNUMBER(SEARCH("hold",W71))),"Review",IF(BB71&gt;=5,"Strong multi-evidence",IF(BB71&gt;=3,"Supported","Weak/inspect")))</x:f>
        <x:v>Strong multi-evidence</x:v>
      </x:c>
    </x:row>
    <x:row r="72">
      <x:c r="A72" t="str">
        <x:v>UGT</x:v>
      </x:c>
      <x:c r="B72" t="str">
        <x:v>TRINITY_DN7259_c0_g1</x:v>
      </x:c>
      <x:c r="C72" t="str">
        <x:v>no</x:v>
      </x:c>
      <x:c r="D72" t="n">
        <x:v>1</x:v>
      </x:c>
      <x:c r="E72" s="17" t="n">
        <x:v>36.369519</x:v>
      </x:c>
      <x:c r="F72" s="17" t="n">
        <x:v>38.682338</x:v>
      </x:c>
      <x:c r="G72" s="17" t="n">
        <x:v>13.504367</x:v>
      </x:c>
      <x:c r="H72" s="17" t="n">
        <x:v>57.411431</x:v>
      </x:c>
      <x:c r="I72" s="17" t="n">
        <x:v>69.061377</x:v>
      </x:c>
      <x:c r="J72" s="17" t="n">
        <x:v>76.276684</x:v>
      </x:c>
      <x:c r="K72" s="17" t="n">
        <x:v>25.887624799999998</x:v>
      </x:c>
      <x:c r="L72" s="17" t="n">
        <x:v>55.6210004</x:v>
      </x:c>
      <x:c r="M72" s="17" t="n">
        <x:v>29.733375600000002</x:v>
      </x:c>
      <x:c r="N72" s="18" t="n">
        <x:v>0.885947504855861</x:v>
      </x:c>
      <x:c r="O72" t="str">
        <x:v>TRINITY_DN7259_c0_g1_i1.p1</x:v>
      </x:c>
      <x:c r="P72" t="n">
        <x:v>484</x:v>
      </x:c>
      <x:c r="Q72" t="str">
        <x:v>review</x:v>
      </x:c>
      <x:c r="R72" t="str">
        <x:v>no_family_defining_domain_in_current_core_table</x:v>
      </x:c>
      <x:c r="S72" t="str">
        <x:v>IPR007676;PF04597</x:v>
      </x:c>
      <x:c r="T72" t="str">
        <x:v>Ribophorin I</x:v>
      </x:c>
      <x:c r="U72" t="str">
        <x:v>exclude_from_canonical_UGT</x:v>
      </x:c>
      <x:c r="V72" t="str">
        <x:v>alternative domain architecture; PF00201/IPR002213 absent</x:v>
      </x:c>
      <x:c r="W72"/>
      <x:c r="X72"/>
      <x:c r="Y72" s="15" t="b">
        <x:v>1</x:v>
      </x:c>
      <x:c r="Z72" s="15" t="b">
        <x:v>0</x:v>
      </x:c>
      <x:c r="AA72" s="15" t="b">
        <x:v>1</x:v>
      </x:c>
      <x:c r="AB72" s="15" t="b">
        <x:v>1</x:v>
      </x:c>
      <x:c r="AC72" t="str">
        <x:v>Spodoptera|XP_035444053.2</x:v>
      </x:c>
      <x:c r="AD72" s="19" t="n">
        <x:v>0</x:v>
      </x:c>
      <x:c r="AE72" t="n">
        <x:v>924</x:v>
      </x:c>
      <x:c r="AF72" t="n">
        <x:v>90.062</x:v>
      </x:c>
      <x:c r="AG72" t="n">
        <x:v>100</x:v>
      </x:c>
      <x:c r="AH72" t="n">
        <x:v>97.9716</x:v>
      </x:c>
      <x:c r="AI72" t="str">
        <x:v>sp|Q9GMB0|RPN1_PIG</x:v>
      </x:c>
      <x:c r="AJ72" t="str">
        <x:v>sp|Q9GMB0|RPN1_PIG Dolichyl-diphosphooligosaccharide--protein glycosyltransferase subunit 1 OS=Sus scrofa OX=9823 GN=RPN1 PE=1 SV=1</x:v>
      </x:c>
      <x:c r="AK72" s="19" t="n">
        <x:v>2.72e-148</x:v>
      </x:c>
      <x:c r="AL72" t="n">
        <x:v>439</x:v>
      </x:c>
      <x:c r="AM72" t="n">
        <x:v>51.3</x:v>
      </x:c>
      <x:c r="AN72" t="n">
        <x:v>89.648033126294</x:v>
      </x:c>
      <x:c r="AO72" t="n">
        <x:v>71.21710526315789</x:v>
      </x:c>
      <x:c r="AP72" t="n">
        <x:v>0</x:v>
      </x:c>
      <x:c r="AQ72" t="n">
        <x:v>0</x:v>
      </x:c>
      <x:c r="AR72" t="str">
        <x:v>UGT_C012</x:v>
      </x:c>
      <x:c r="AS72" t="n">
        <x:v>1</x:v>
      </x:c>
      <x:c r="AT72" s="17" t="n">
        <x:f>AVERAGE(E72:G72)</x:f>
        <x:v>29.518741333333335</x:v>
      </x:c>
      <x:c r="AU72" s="17" t="n">
        <x:f>STDEV.S(E72:G72)</x:f>
        <x:v>13.916983218276307</x:v>
      </x:c>
      <x:c r="AV72" s="17" t="n">
        <x:f>AVERAGE(H72:J72)</x:f>
        <x:v>67.583164</x:v>
      </x:c>
      <x:c r="AW72" s="17" t="n">
        <x:f>STDEV.S(H72:J72)</x:f>
        <x:v>9.51910068985138</x:v>
      </x:c>
      <x:c r="AX72" s="17" t="n">
        <x:f>AV72-AT72</x:f>
        <x:v>38.06442266666666</x:v>
      </x:c>
      <x:c r="AY72" s="17" t="n">
        <x:f>LOG((AV72+1)/(AT72+1),2)</x:f>
        <x:v>1.1681589996034552</x:v>
      </x:c>
      <x:c r="AZ72" s="17" t="n">
        <x:f>AVERAGE(E72:J72)</x:f>
        <x:v>48.55095266666667</x:v>
      </x:c>
      <x:c r="BA72" s="17" t="n">
        <x:f>MAX(E72:J72)</x:f>
        <x:v>76.276684</x:v>
      </x:c>
      <x:c r="BB72" s="20" t="n">
        <x:f>IF(Q72="provisional_HQ_domain",2,0)+IF(Y72,1,0)+IF(AB72,1,0)+IF(AI72&lt;&gt;"",1,0)+IF(AP72+AQ72&gt;0,1,0)</x:f>
        <x:v>3</x:v>
      </x:c>
      <x:c r="BC72" t="str">
        <x:f>IF(OR(ISNUMBER(SEARCH("exclude",U72)),ISNUMBER(SEARCH("hold",U72)),ISNUMBER(SEARCH("hold",W72))),"Review",IF(BB72&gt;=5,"Strong multi-evidence",IF(BB72&gt;=3,"Supported","Weak/inspect")))</x:f>
        <x:v>Review</x:v>
      </x:c>
    </x:row>
    <x:row r="73">
      <x:c r="A73" t="str">
        <x:v>UGT</x:v>
      </x:c>
      <x:c r="B73" t="str">
        <x:v>TRINITY_DN729_c0_g1</x:v>
      </x:c>
      <x:c r="C73" t="str">
        <x:v>no</x:v>
      </x:c>
      <x:c r="D73" t="n">
        <x:v>5</x:v>
      </x:c>
      <x:c r="E73" s="17" t="n">
        <x:v>62.322720000000004</x:v>
      </x:c>
      <x:c r="F73" s="17" t="n">
        <x:v>78.210143</x:v>
      </x:c>
      <x:c r="G73" s="17" t="n">
        <x:v>38.267896</x:v>
      </x:c>
      <x:c r="H73" s="17" t="n">
        <x:v>101.659454</x:v>
      </x:c>
      <x:c r="I73" s="17" t="n">
        <x:v>102.97134700000001</x:v>
      </x:c>
      <x:c r="J73" s="17" t="n">
        <x:v>122.10296</x:v>
      </x:c>
      <x:c r="K73" s="17" t="n">
        <x:v>51.18270268</x:v>
      </x:c>
      <x:c r="L73" s="17" t="n">
        <x:v>89.1440119</x:v>
      </x:c>
      <x:c r="M73" s="17" t="n">
        <x:v>37.96130922</x:v>
      </x:c>
      <x:c r="N73" s="18" t="n">
        <x:v>0.895230473585131</x:v>
      </x:c>
      <x:c r="O73" t="str">
        <x:v>TRINITY_DN729_c0_g1_i9.p1</x:v>
      </x:c>
      <x:c r="P73" t="n">
        <x:v>289</x:v>
      </x:c>
      <x:c r="Q73" t="str">
        <x:v>review</x:v>
      </x:c>
      <x:c r="R73" t="str">
        <x:v>no_family_defining_domain_in_current_core_table</x:v>
      </x:c>
      <x:c r="S73" t="str">
        <x:v>IPR003038;IPR012479;PF02109;PF07818</x:v>
      </x:c>
      <x:c r="T73" t="str">
        <x:v>DAD family;DAD/Ost2;HCNGP-like protein;SAP30-binding protein</x:v>
      </x:c>
      <x:c r="U73" t="str">
        <x:v>exclude_from_canonical_UGT</x:v>
      </x:c>
      <x:c r="V73" t="str">
        <x:v>alternative domain architecture; PF00201/IPR002213 absent</x:v>
      </x:c>
      <x:c r="W73"/>
      <x:c r="X73"/>
      <x:c r="Y73" s="15" t="b">
        <x:v>0</x:v>
      </x:c>
      <x:c r="Z73" s="15" t="b">
        <x:v>0</x:v>
      </x:c>
      <x:c r="AA73" s="15" t="b">
        <x:v>1</x:v>
      </x:c>
      <x:c r="AB73" s="15" t="b">
        <x:v>1</x:v>
      </x:c>
      <x:c r="AC73" t="str">
        <x:v>Spodoptera|XP_035435090.1</x:v>
      </x:c>
      <x:c r="AD73" s="19" t="n">
        <x:v>4.16e-180</x:v>
      </x:c>
      <x:c r="AE73" t="n">
        <x:v>491</x:v>
      </x:c>
      <x:c r="AF73" t="n">
        <x:v>86.411</x:v>
      </x:c>
      <x:c r="AG73" t="n">
        <x:v>99.6528</x:v>
      </x:c>
      <x:c r="AH73" t="n">
        <x:v>100.35</x:v>
      </x:c>
      <x:c r="AI73" t="str">
        <x:v>sp|Q9UHR5|S30BP_HUMAN</x:v>
      </x:c>
      <x:c r="AJ73" t="str">
        <x:v>sp|Q9UHR5|S30BP_HUMAN SAP30-binding protein OS=Homo sapiens OX=9606 GN=SAP30BP PE=1 SV=1</x:v>
      </x:c>
      <x:c r="AK73" s="19" t="n">
        <x:v>2.19e-47</x:v>
      </x:c>
      <x:c r="AL73" t="n">
        <x:v>163</x:v>
      </x:c>
      <x:c r="AM73" t="n">
        <x:v>46.5</x:v>
      </x:c>
      <x:c r="AN73" t="n">
        <x:v>75.34722222222223</x:v>
      </x:c>
      <x:c r="AO73" t="n">
        <x:v>70.45454545454545</x:v>
      </x:c>
      <x:c r="AP73" t="n">
        <x:v>0</x:v>
      </x:c>
      <x:c r="AQ73" t="n">
        <x:v>0</x:v>
      </x:c>
      <x:c r="AR73" t="str">
        <x:v>UGT_C013</x:v>
      </x:c>
      <x:c r="AS73" t="n">
        <x:v>1</x:v>
      </x:c>
      <x:c r="AT73" s="17" t="n">
        <x:f>AVERAGE(E73:G73)</x:f>
        <x:v>59.60025300000001</x:v>
      </x:c>
      <x:c r="AU73" s="17" t="n">
        <x:f>STDEV.S(E73:G73)</x:f>
        <x:v>20.109814613188732</x:v>
      </x:c>
      <x:c r="AV73" s="17" t="n">
        <x:f>AVERAGE(H73:J73)</x:f>
        <x:v>108.91125366666667</x:v>
      </x:c>
      <x:c r="AW73" s="17" t="n">
        <x:f>STDEV.S(H73:J73)</x:f>
        <x:v>11.44316838989719</x:v>
      </x:c>
      <x:c r="AX73" s="17" t="n">
        <x:f>AV73-AT73</x:f>
        <x:v>49.31100066666666</x:v>
      </x:c>
      <x:c r="AY73" s="17" t="n">
        <x:f>LOG((AV73+1)/(AT73+1),2)</x:f>
        <x:v>0.8589433875398247</x:v>
      </x:c>
      <x:c r="AZ73" s="17" t="n">
        <x:f>AVERAGE(E73:J73)</x:f>
        <x:v>84.25575333333333</x:v>
      </x:c>
      <x:c r="BA73" s="17" t="n">
        <x:f>MAX(E73:J73)</x:f>
        <x:v>122.10296</x:v>
      </x:c>
      <x:c r="BB73" s="20" t="n">
        <x:f>IF(Q73="provisional_HQ_domain",2,0)+IF(Y73,1,0)+IF(AB73,1,0)+IF(AI73&lt;&gt;"",1,0)+IF(AP73+AQ73&gt;0,1,0)</x:f>
        <x:v>2</x:v>
      </x:c>
      <x:c r="BC73" t="str">
        <x:f>IF(OR(ISNUMBER(SEARCH("exclude",U73)),ISNUMBER(SEARCH("hold",U73)),ISNUMBER(SEARCH("hold",W73))),"Review",IF(BB73&gt;=5,"Strong multi-evidence",IF(BB73&gt;=3,"Supported","Weak/inspect")))</x:f>
        <x:v>Review</x:v>
      </x:c>
    </x:row>
    <x:row r="74">
      <x:c r="A74" t="str">
        <x:v>UGT</x:v>
      </x:c>
      <x:c r="B74" t="str">
        <x:v>TRINITY_DN7973_c0_g1</x:v>
      </x:c>
      <x:c r="C74" t="str">
        <x:v>no</x:v>
      </x:c>
      <x:c r="D74" t="n">
        <x:v>6</x:v>
      </x:c>
      <x:c r="E74" s="17" t="n">
        <x:v>19.042175999999998</x:v>
      </x:c>
      <x:c r="F74" s="17" t="n">
        <x:v>24.161050000000003</x:v>
      </x:c>
      <x:c r="G74" s="17" t="n">
        <x:v>12.304905</x:v>
      </x:c>
      <x:c r="H74" s="17" t="n">
        <x:v>30.573038</x:v>
      </x:c>
      <x:c r="I74" s="17" t="n">
        <x:v>35.68721</x:v>
      </x:c>
      <x:c r="J74" s="17" t="n">
        <x:v>34.873977000000004</x:v>
      </x:c>
      <x:c r="K74" s="17" t="n">
        <x:v>15.90170778</x:v>
      </x:c>
      <x:c r="L74" s="17" t="n">
        <x:v>27.455117440000002</x:v>
      </x:c>
      <x:c r="M74" s="17" t="n">
        <x:v>11.553409660000002</x:v>
      </x:c>
      <x:c r="N74" s="18" t="n">
        <x:v>0.825860200605613</x:v>
      </x:c>
      <x:c r="O74" t="str">
        <x:v>TRINITY_DN7973_c0_g1_i8.p1</x:v>
      </x:c>
      <x:c r="P74" t="n">
        <x:v>353</x:v>
      </x:c>
      <x:c r="Q74" t="str">
        <x:v>review</x:v>
      </x:c>
      <x:c r="R74" t="str">
        <x:v>no_family_defining_domain_in_current_core_table</x:v>
      </x:c>
      <x:c r="S74" t="str">
        <x:v>IPR021149;PF04756</x:v>
      </x:c>
      <x:c r="T74" t="str">
        <x:v>OST3 / OST6 family, transporter family;Oligosaccharyl transferase complex, subunit OST3/OST6</x:v>
      </x:c>
      <x:c r="U74" t="str">
        <x:v>exclude_from_canonical_UGT</x:v>
      </x:c>
      <x:c r="V74" t="str">
        <x:v>alternative domain architecture; PF00201/IPR002213 absent</x:v>
      </x:c>
      <x:c r="W74"/>
      <x:c r="X74"/>
      <x:c r="Y74" s="15" t="b">
        <x:v>0</x:v>
      </x:c>
      <x:c r="Z74" s="15" t="b">
        <x:v>0</x:v>
      </x:c>
      <x:c r="AA74" s="15" t="b">
        <x:v>1</x:v>
      </x:c>
      <x:c r="AB74" s="15" t="b">
        <x:v>1</x:v>
      </x:c>
      <x:c r="AC74" t="str">
        <x:v>Spodoptera|XP_035431089.2</x:v>
      </x:c>
      <x:c r="AD74" s="19" t="n">
        <x:v>0</x:v>
      </x:c>
      <x:c r="AE74" t="n">
        <x:v>647</x:v>
      </x:c>
      <x:c r="AF74" t="n">
        <x:v>91.541</x:v>
      </x:c>
      <x:c r="AG74" t="n">
        <x:v>94.0341</x:v>
      </x:c>
      <x:c r="AH74" t="n">
        <x:v>99.6988</x:v>
      </x:c>
      <x:c r="AI74" t="str">
        <x:v>sp|Q8BTV1|TUSC3_MOUSE</x:v>
      </x:c>
      <x:c r="AJ74" t="str">
        <x:v>sp|Q8BTV1|TUSC3_MOUSE Dolichyl-diphosphooligosaccharide--protein glycosyltransferase subunit TUSC3 OS=Mus musculus OX=10090 GN=Tusc3 PE=1 SV=1</x:v>
      </x:c>
      <x:c r="AK74" s="19" t="n">
        <x:v>3.07e-114</x:v>
      </x:c>
      <x:c r="AL74" t="n">
        <x:v>338</x:v>
      </x:c>
      <x:c r="AM74" t="n">
        <x:v>53.3</x:v>
      </x:c>
      <x:c r="AN74" t="n">
        <x:v>86.93181818181819</x:v>
      </x:c>
      <x:c r="AO74" t="n">
        <x:v>88.18443804034582</x:v>
      </x:c>
      <x:c r="AP74" t="n">
        <x:v>0</x:v>
      </x:c>
      <x:c r="AQ74" t="n">
        <x:v>0</x:v>
      </x:c>
      <x:c r="AR74" t="str">
        <x:v>UGT_C014</x:v>
      </x:c>
      <x:c r="AS74" t="n">
        <x:v>1</x:v>
      </x:c>
      <x:c r="AT74" s="17" t="n">
        <x:f>AVERAGE(E74:G74)</x:f>
        <x:v>18.502710333333333</x:v>
      </x:c>
      <x:c r="AU74" s="17" t="n">
        <x:f>STDEV.S(E74:G74)</x:f>
        <x:v>5.946453646450997</x:v>
      </x:c>
      <x:c r="AV74" s="17" t="n">
        <x:f>AVERAGE(H74:J74)</x:f>
        <x:v>33.71140833333334</x:v>
      </x:c>
      <x:c r="AW74" s="17" t="n">
        <x:f>STDEV.S(H74:J74)</x:f>
        <x:v>2.74815633469647</x:v>
      </x:c>
      <x:c r="AX74" s="17" t="n">
        <x:f>AV74-AT74</x:f>
        <x:v>15.208698000000005</x:v>
      </x:c>
      <x:c r="AY74" s="17" t="n">
        <x:f>LOG((AV74+1)/(AT74+1),2)</x:f>
        <x:v>0.8317352679740063</x:v>
      </x:c>
      <x:c r="AZ74" s="17" t="n">
        <x:f>AVERAGE(E74:J74)</x:f>
        <x:v>26.107059333333336</x:v>
      </x:c>
      <x:c r="BA74" s="17" t="n">
        <x:f>MAX(E74:J74)</x:f>
        <x:v>35.68721</x:v>
      </x:c>
      <x:c r="BB74" s="20" t="n">
        <x:f>IF(Q74="provisional_HQ_domain",2,0)+IF(Y74,1,0)+IF(AB74,1,0)+IF(AI74&lt;&gt;"",1,0)+IF(AP74+AQ74&gt;0,1,0)</x:f>
        <x:v>2</x:v>
      </x:c>
      <x:c r="BC74" t="str">
        <x:f>IF(OR(ISNUMBER(SEARCH("exclude",U74)),ISNUMBER(SEARCH("hold",U74)),ISNUMBER(SEARCH("hold",W74))),"Review",IF(BB74&gt;=5,"Strong multi-evidence",IF(BB74&gt;=3,"Supported","Weak/inspect")))</x:f>
        <x:v>Review</x:v>
      </x:c>
    </x:row>
    <x:row r="75">
      <x:c r="A75" t="str">
        <x:v>UGT</x:v>
      </x:c>
      <x:c r="B75" t="str">
        <x:v>TRINITY_DN8039_c0_g1</x:v>
      </x:c>
      <x:c r="C75" t="str">
        <x:v>no</x:v>
      </x:c>
      <x:c r="D75" t="n">
        <x:v>1</x:v>
      </x:c>
      <x:c r="E75" s="17" t="n">
        <x:v>0.603016</x:v>
      </x:c>
      <x:c r="F75" s="17" t="n">
        <x:v>1.293826</x:v>
      </x:c>
      <x:c r="G75" s="17" t="n">
        <x:v>1.315611</x:v>
      </x:c>
      <x:c r="H75" s="17" t="n">
        <x:v>1.745115</x:v>
      </x:c>
      <x:c r="I75" s="17" t="n">
        <x:v>2.70007</x:v>
      </x:c>
      <x:c r="J75" s="17" t="n">
        <x:v>0.845038</x:v>
      </x:c>
      <x:c r="K75" s="17" t="n">
        <x:v>0.9228356</x:v>
      </x:c>
      <x:c r="L75" s="17" t="n">
        <x:v>1.5622114</x:v>
      </x:c>
      <x:c r="M75" s="17" t="n">
        <x:v>0.6393758</x:v>
      </x:c>
      <x:c r="N75" s="18" t="n">
        <x:v>0.999999010765626</x:v>
      </x:c>
      <x:c r="O75" t="str">
        <x:v>TRINITY_DN8039_c0_g1_i1.p1</x:v>
      </x:c>
      <x:c r="P75" t="n">
        <x:v>330</x:v>
      </x:c>
      <x:c r="Q75" t="str">
        <x:v>review</x:v>
      </x:c>
      <x:c r="R75" t="str">
        <x:v>no_family_defining_domain_in_current_core_table</x:v>
      </x:c>
      <x:c r="S75" t="str">
        <x:v>IPR003378;PF02434</x:v>
      </x:c>
      <x:c r="T75" t="str">
        <x:v>Fringe-like</x:v>
      </x:c>
      <x:c r="U75" t="str">
        <x:v>exclude_from_canonical_UGT</x:v>
      </x:c>
      <x:c r="V75" t="str">
        <x:v>alternative domain architecture; PF00201/IPR002213 absent</x:v>
      </x:c>
      <x:c r="W75"/>
      <x:c r="X75"/>
      <x:c r="Y75" s="15" t="b">
        <x:v>1</x:v>
      </x:c>
      <x:c r="Z75" s="15" t="b">
        <x:v>0</x:v>
      </x:c>
      <x:c r="AA75" s="15" t="b">
        <x:v>1</x:v>
      </x:c>
      <x:c r="AB75" s="15" t="b">
        <x:v>1</x:v>
      </x:c>
      <x:c r="AC75" t="str">
        <x:v>Bmori|NP_001116813.1</x:v>
      </x:c>
      <x:c r="AD75" s="19" t="n">
        <x:v>0</x:v>
      </x:c>
      <x:c r="AE75" t="n">
        <x:v>529</x:v>
      </x:c>
      <x:c r="AF75" t="n">
        <x:v>77.341</x:v>
      </x:c>
      <x:c r="AG75" t="n">
        <x:v>100.608</x:v>
      </x:c>
      <x:c r="AH75" t="n">
        <x:v>101.223</x:v>
      </x:c>
      <x:c r="AI75" t="str">
        <x:v>sp|Q24342|FNG_DROME</x:v>
      </x:c>
      <x:c r="AJ75" t="str">
        <x:v>sp|Q24342|FNG_DROME Fringe glycosyltransferase OS=Drosophila melanogaster OX=7227 GN=fng PE=1 SV=1</x:v>
      </x:c>
      <x:c r="AK75" s="19" t="n">
        <x:v>6.54e-123</x:v>
      </x:c>
      <x:c r="AL75" t="n">
        <x:v>362</x:v>
      </x:c>
      <x:c r="AM75" t="n">
        <x:v>58.2</x:v>
      </x:c>
      <x:c r="AN75" t="n">
        <x:v>86.62613981762918</x:v>
      </x:c>
      <x:c r="AO75" t="n">
        <x:v>69.1747572815534</x:v>
      </x:c>
      <x:c r="AP75" t="n">
        <x:v>0</x:v>
      </x:c>
      <x:c r="AQ75" t="n">
        <x:v>0</x:v>
      </x:c>
      <x:c r="AR75" t="str">
        <x:v>UGT_C015</x:v>
      </x:c>
      <x:c r="AS75" t="n">
        <x:v>1</x:v>
      </x:c>
      <x:c r="AT75" s="17" t="n">
        <x:f>AVERAGE(E75:G75)</x:f>
        <x:v>1.0708176666666667</x:v>
      </x:c>
      <x:c r="AU75" s="17" t="n">
        <x:f>STDEV.S(E75:G75)</x:f>
        <x:v>0.4052745317168763</x:v>
      </x:c>
      <x:c r="AV75" s="17" t="n">
        <x:f>AVERAGE(H75:J75)</x:f>
        <x:v>1.7634076666666667</x:v>
      </x:c>
      <x:c r="AW75" s="17" t="n">
        <x:f>STDEV.S(H75:J75)</x:f>
        <x:v>0.9276512795745682</x:v>
      </x:c>
      <x:c r="AX75" s="17" t="n">
        <x:f>AV75-AT75</x:f>
        <x:v>0.69259</x:v>
      </x:c>
      <x:c r="AY75" s="17" t="n">
        <x:f>LOG((AV75+1)/(AT75+1),2)</x:f>
        <x:v>0.41624787744203157</x:v>
      </x:c>
      <x:c r="AZ75" s="17" t="n">
        <x:f>AVERAGE(E75:J75)</x:f>
        <x:v>1.417112666666667</x:v>
      </x:c>
      <x:c r="BA75" s="17" t="n">
        <x:f>MAX(E75:J75)</x:f>
        <x:v>2.70007</x:v>
      </x:c>
      <x:c r="BB75" s="20" t="n">
        <x:f>IF(Q75="provisional_HQ_domain",2,0)+IF(Y75,1,0)+IF(AB75,1,0)+IF(AI75&lt;&gt;"",1,0)+IF(AP75+AQ75&gt;0,1,0)</x:f>
        <x:v>3</x:v>
      </x:c>
      <x:c r="BC75" t="str">
        <x:f>IF(OR(ISNUMBER(SEARCH("exclude",U75)),ISNUMBER(SEARCH("hold",U75)),ISNUMBER(SEARCH("hold",W75))),"Review",IF(BB75&gt;=5,"Strong multi-evidence",IF(BB75&gt;=3,"Supported","Weak/inspect")))</x:f>
        <x:v>Review</x:v>
      </x:c>
    </x:row>
    <x:row r="76">
      <x:c r="A76" t="str">
        <x:v>UGT</x:v>
      </x:c>
      <x:c r="B76" t="str">
        <x:v>TRINITY_DN87_c1_g3</x:v>
      </x:c>
      <x:c r="C76" t="str">
        <x:v>no</x:v>
      </x:c>
      <x:c r="D76" t="n">
        <x:v>5</x:v>
      </x:c>
      <x:c r="E76" s="17" t="n">
        <x:v>22.400955</x:v>
      </x:c>
      <x:c r="F76" s="17" t="n">
        <x:v>19.800771</x:v>
      </x:c>
      <x:c r="G76" s="17" t="n">
        <x:v>10.626021</x:v>
      </x:c>
      <x:c r="H76" s="17" t="n">
        <x:v>28.126039000000002</x:v>
      </x:c>
      <x:c r="I76" s="17" t="n">
        <x:v>18.990955</x:v>
      </x:c>
      <x:c r="J76" s="17" t="n">
        <x:v>12.767046</x:v>
      </x:c>
      <x:c r="K76" s="17" t="n">
        <x:v>16.00796768</x:v>
      </x:c>
      <x:c r="L76" s="17" t="n">
        <x:v>17.31016236</x:v>
      </x:c>
      <x:c r="M76" s="17" t="n">
        <x:v>1.3021946799999995</x:v>
      </x:c>
      <x:c r="N76" s="18" t="n">
        <x:v>0.000826511518728698</x:v>
      </x:c>
      <x:c r="O76" t="str">
        <x:v>TRINITY_DN87_c1_g3_i5.p1</x:v>
      </x:c>
      <x:c r="P76" t="n">
        <x:v>541</x:v>
      </x:c>
      <x:c r="Q76" t="str">
        <x:v>provisional_HQ_domain</x:v>
      </x:c>
      <x:c r="R76" t="str">
        <x:v>family_defining_domain_detected</x:v>
      </x:c>
      <x:c r="S76" t="str">
        <x:v>IPR002213;PF00201</x:v>
      </x:c>
      <x:c r="T76" t="str">
        <x:v>UDP-glucoronosyl and UDP-glucosyl transferase;UDP-glucuronosyl/UDP-glucosyltransferase</x:v>
      </x:c>
      <x:c r="U76"/>
      <x:c r="V76"/>
      <x:c r="W76"/>
      <x:c r="X76"/>
      <x:c r="Y76" s="15" t="b">
        <x:v>1</x:v>
      </x:c>
      <x:c r="Z76" s="15" t="b">
        <x:v>0</x:v>
      </x:c>
      <x:c r="AA76" s="15" t="b">
        <x:v>1</x:v>
      </x:c>
      <x:c r="AB76" s="15" t="b">
        <x:v>1</x:v>
      </x:c>
      <x:c r="AC76" t="str">
        <x:v>Spodoptera|XP_035454584.2</x:v>
      </x:c>
      <x:c r="AD76" s="19" t="n">
        <x:v>0</x:v>
      </x:c>
      <x:c r="AE76" t="n">
        <x:v>804</x:v>
      </x:c>
      <x:c r="AF76" t="n">
        <x:v>73.643</x:v>
      </x:c>
      <x:c r="AG76" t="n">
        <x:v>95.5556</x:v>
      </x:c>
      <x:c r="AH76" t="n">
        <x:v>99.6139</x:v>
      </x:c>
      <x:c r="AI76" t="str">
        <x:v>sp|P41713|UDPE_NPVLD</x:v>
      </x:c>
      <x:c r="AJ76" t="str">
        <x:v>sp|P41713|UDPE_NPVLD Ecdysteroid UDP-glucosyltransferase OS=Lymantria dispar multicapsid nuclear polyhedrosis virus OX=10449 GN=EGT PE=3 SV=2</x:v>
      </x:c>
      <x:c r="AK76" s="19" t="n">
        <x:v>9.29e-96</x:v>
      </x:c>
      <x:c r="AL76" t="n">
        <x:v>303</x:v>
      </x:c>
      <x:c r="AM76" t="n">
        <x:v>38.5</x:v>
      </x:c>
      <x:c r="AN76" t="n">
        <x:v>89.07407407407408</x:v>
      </x:c>
      <x:c r="AO76" t="n">
        <x:v>95.0592885375494</x:v>
      </x:c>
      <x:c r="AP76" t="n">
        <x:v>0</x:v>
      </x:c>
      <x:c r="AQ76" t="n">
        <x:v>0</x:v>
      </x:c>
      <x:c r="AR76" t="str">
        <x:v>UGT_C001</x:v>
      </x:c>
      <x:c r="AS76" t="n">
        <x:v>15</x:v>
      </x:c>
      <x:c r="AT76" s="17" t="n">
        <x:f>AVERAGE(E76:G76)</x:f>
        <x:v>17.609249000000002</x:v>
      </x:c>
      <x:c r="AU76" s="17" t="n">
        <x:f>STDEV.S(E76:G76)</x:f>
        <x:v>6.185817988225325</x:v>
      </x:c>
      <x:c r="AV76" s="17" t="n">
        <x:f>AVERAGE(H76:J76)</x:f>
        <x:v>19.961346666666667</x:v>
      </x:c>
      <x:c r="AW76" s="17" t="n">
        <x:f>STDEV.S(H76:J76)</x:f>
        <x:v>7.725342159643438</x:v>
      </x:c>
      <x:c r="AX76" s="17" t="n">
        <x:f>AV76-AT76</x:f>
        <x:v>2.3520976666666655</x:v>
      </x:c>
      <x:c r="AY76" s="17" t="n">
        <x:f>LOG((AV76+1)/(AT76+1),2)</x:f>
        <x:v>0.17171157136469634</x:v>
      </x:c>
      <x:c r="AZ76" s="17" t="n">
        <x:f>AVERAGE(E76:J76)</x:f>
        <x:v>18.785297833333335</x:v>
      </x:c>
      <x:c r="BA76" s="17" t="n">
        <x:f>MAX(E76:J76)</x:f>
        <x:v>28.126039000000002</x:v>
      </x:c>
      <x:c r="BB76" s="20" t="n">
        <x:f>IF(Q76="provisional_HQ_domain",2,0)+IF(Y76,1,0)+IF(AB76,1,0)+IF(AI76&lt;&gt;"",1,0)+IF(AP76+AQ76&gt;0,1,0)</x:f>
        <x:v>5</x:v>
      </x:c>
      <x:c r="BC76" t="str">
        <x:f>IF(OR(ISNUMBER(SEARCH("exclude",U76)),ISNUMBER(SEARCH("hold",U76)),ISNUMBER(SEARCH("hold",W76))),"Review",IF(BB76&gt;=5,"Strong multi-evidence",IF(BB76&gt;=3,"Supported","Weak/inspect")))</x:f>
        <x:v>Strong multi-evidence</x:v>
      </x:c>
    </x:row>
    <x:row r="77">
      <x:c r="A77" t="str">
        <x:v>UGT</x:v>
      </x:c>
      <x:c r="B77" t="str">
        <x:v>TRINITY_DN9587_c0_g1</x:v>
      </x:c>
      <x:c r="C77" t="str">
        <x:v>no</x:v>
      </x:c>
      <x:c r="D77" t="n">
        <x:v>2</x:v>
      </x:c>
      <x:c r="E77" s="17" t="n">
        <x:v>0.111424</x:v>
      </x:c>
      <x:c r="F77" s="17" t="n">
        <x:v>0.19672800000000001</x:v>
      </x:c>
      <x:c r="G77" s="17" t="n">
        <x:v>3.236121</x:v>
      </x:c>
      <x:c r="H77" s="17" t="n">
        <x:v>0.15148</x:v>
      </x:c>
      <x:c r="I77" s="17" t="n">
        <x:v>0.28358099999999997</x:v>
      </x:c>
      <x:c r="J77" s="17" t="n">
        <x:v>0.614984</x:v>
      </x:c>
      <x:c r="K77" s="17" t="n">
        <x:v>1.2358411999999999</x:v>
      </x:c>
      <x:c r="L77" s="17" t="n">
        <x:v>0.32158141999999995</x:v>
      </x:c>
      <x:c r="M77" s="17" t="n">
        <x:v>-0.9142597799999999</x:v>
      </x:c>
      <x:c r="N77" s="18" t="n">
        <x:v>0.999999010765626</x:v>
      </x:c>
      <x:c r="O77" t="str">
        <x:v>TRINITY_DN9587_c0_g1_i1.p1</x:v>
      </x:c>
      <x:c r="P77" t="n">
        <x:v>149</x:v>
      </x:c>
      <x:c r="Q77" t="str">
        <x:v>provisional_HQ_domain</x:v>
      </x:c>
      <x:c r="R77" t="str">
        <x:v>family_defining_domain_detected</x:v>
      </x:c>
      <x:c r="S77" t="str">
        <x:v>IPR002213;PF00201</x:v>
      </x:c>
      <x:c r="T77" t="str">
        <x:v>UDP-glucoronosyl and UDP-glucosyl transferase;UDP-glucuronosyl/UDP-glucosyltransferase</x:v>
      </x:c>
      <x:c r="U77"/>
      <x:c r="V77"/>
      <x:c r="W77"/>
      <x:c r="X77"/>
      <x:c r="Y77" s="15" t="b">
        <x:v>1</x:v>
      </x:c>
      <x:c r="Z77" s="15" t="b">
        <x:v>0</x:v>
      </x:c>
      <x:c r="AA77" s="15" t="b">
        <x:v>1</x:v>
      </x:c>
      <x:c r="AB77" s="15" t="b">
        <x:v>0</x:v>
      </x:c>
      <x:c r="AC77" t="str">
        <x:v>Spodoptera|XP_035454642.2</x:v>
      </x:c>
      <x:c r="AD77" s="19" t="n">
        <x:v>1.05e-80</x:v>
      </x:c>
      <x:c r="AE77" t="n">
        <x:v>240</x:v>
      </x:c>
      <x:c r="AF77" t="n">
        <x:v>72.973</x:v>
      </x:c>
      <x:c r="AG77" t="n">
        <x:v>100</x:v>
      </x:c>
      <x:c r="AH77" t="n">
        <x:v>28.5714</x:v>
      </x:c>
      <x:c r="AI77" t="str">
        <x:v>sp|Q9XT55|UDB19_MACFA</x:v>
      </x:c>
      <x:c r="AJ77" t="str">
        <x:v>sp|Q9XT55|UDB19_MACFA UDP-glucuronosyltransferase 2B19 OS=Macaca fascicularis OX=9541 GN=UGT2B19 PE=1 SV=1</x:v>
      </x:c>
      <x:c r="AK77" s="19" t="n">
        <x:v>6.76e-27</x:v>
      </x:c>
      <x:c r="AL77" t="n">
        <x:v>107</x:v>
      </x:c>
      <x:c r="AM77" t="n">
        <x:v>36.8</x:v>
      </x:c>
      <x:c r="AN77" t="n">
        <x:v>91.89189189189189</x:v>
      </x:c>
      <x:c r="AO77" t="n">
        <x:v>25.757575757575758</x:v>
      </x:c>
      <x:c r="AP77" t="n">
        <x:v>0</x:v>
      </x:c>
      <x:c r="AQ77" t="n">
        <x:v>0</x:v>
      </x:c>
      <x:c r="AR77" t="str">
        <x:v>UGT_C002</x:v>
      </x:c>
      <x:c r="AS77" t="n">
        <x:v>7</x:v>
      </x:c>
      <x:c r="AT77" s="17" t="n">
        <x:f>AVERAGE(E77:G77)</x:f>
        <x:v>1.1814243333333332</x:v>
      </x:c>
      <x:c r="AU77" s="17" t="n">
        <x:f>STDEV.S(E77:G77)</x:f>
        <x:v>1.779930613004994</x:v>
      </x:c>
      <x:c r="AV77" s="17" t="n">
        <x:f>AVERAGE(H77:J77)</x:f>
        <x:v>0.35001499999999997</x:v>
      </x:c>
      <x:c r="AW77" s="17" t="n">
        <x:f>STDEV.S(H77:J77)</x:f>
        <x:v>0.23878671816288274</x:v>
      </x:c>
      <x:c r="AX77" s="17" t="n">
        <x:f>AV77-AT77</x:f>
        <x:v>-0.8314093333333332</x:v>
      </x:c>
      <x:c r="AY77" s="17" t="n">
        <x:f>LOG((AV77+1)/(AT77+1),2)</x:f>
        <x:v>-0.6922949949514685</x:v>
      </x:c>
      <x:c r="AZ77" s="17" t="n">
        <x:f>AVERAGE(E77:J77)</x:f>
        <x:v>0.7657196666666666</x:v>
      </x:c>
      <x:c r="BA77" s="17" t="n">
        <x:f>MAX(E77:J77)</x:f>
        <x:v>3.236121</x:v>
      </x:c>
      <x:c r="BB77" s="20" t="n">
        <x:f>IF(Q77="provisional_HQ_domain",2,0)+IF(Y77,1,0)+IF(AB77,1,0)+IF(AI77&lt;&gt;"",1,0)+IF(AP77+AQ77&gt;0,1,0)</x:f>
        <x:v>4</x:v>
      </x:c>
      <x:c r="BC77" t="str">
        <x:f>IF(OR(ISNUMBER(SEARCH("exclude",U77)),ISNUMBER(SEARCH("hold",U77)),ISNUMBER(SEARCH("hold",W77))),"Review",IF(BB77&gt;=5,"Strong multi-evidence",IF(BB77&gt;=3,"Supported","Weak/inspect")))</x:f>
        <x:v>Supported</x:v>
      </x:c>
    </x:row>
    <x:row r="78">
      <x:c r="A78" t="str">
        <x:v>SULT</x:v>
      </x:c>
      <x:c r="B78" t="str">
        <x:v>TRINITY_DN1282_c1_g2</x:v>
      </x:c>
      <x:c r="C78" t="str">
        <x:v>yes</x:v>
      </x:c>
      <x:c r="D78" t="n">
        <x:v>5</x:v>
      </x:c>
      <x:c r="E78" s="17" t="n">
        <x:v>0.53343</x:v>
      </x:c>
      <x:c r="F78" s="17" t="n">
        <x:v>1.302409</x:v>
      </x:c>
      <x:c r="G78" s="17" t="n">
        <x:v>0.681225</x:v>
      </x:c>
      <x:c r="H78" s="17" t="n">
        <x:v>9.62363</x:v>
      </x:c>
      <x:c r="I78" s="17" t="n">
        <x:v>4.063916</x:v>
      </x:c>
      <x:c r="J78" s="17" t="n">
        <x:v>2.642842</x:v>
      </x:c>
      <x:c r="K78" s="17" t="n">
        <x:v>0.7638224599999999</x:v>
      </x:c>
      <x:c r="L78" s="17" t="n">
        <x:v>5.0216276</x:v>
      </x:c>
      <x:c r="M78" s="17" t="n">
        <x:v>4.25780514</x:v>
      </x:c>
      <x:c r="N78" s="18" t="n">
        <x:v>0.000565151314297892</x:v>
      </x:c>
      <x:c r="O78" t="str">
        <x:v>TRINITY_DN1282_c1_g2_i1.p1</x:v>
      </x:c>
      <x:c r="P78" t="n">
        <x:v>328</x:v>
      </x:c>
      <x:c r="Q78" t="str">
        <x:v>provisional_HQ_domain</x:v>
      </x:c>
      <x:c r="R78" t="str">
        <x:v>family_defining_domain_detected</x:v>
      </x:c>
      <x:c r="S78" t="str">
        <x:v>IPR000863;PF00685</x:v>
      </x:c>
      <x:c r="T78" t="str">
        <x:v>Sulfotransferase domain</x:v>
      </x:c>
      <x:c r="U78"/>
      <x:c r="V78"/>
      <x:c r="W78"/>
      <x:c r="X78"/>
      <x:c r="Y78" s="15" t="b">
        <x:v>1</x:v>
      </x:c>
      <x:c r="Z78" s="15" t="b">
        <x:v>0</x:v>
      </x:c>
      <x:c r="AA78" s="15" t="b">
        <x:v>1</x:v>
      </x:c>
      <x:c r="AB78" s="15" t="b">
        <x:v>1</x:v>
      </x:c>
      <x:c r="AC78" t="str">
        <x:v>Spodoptera|XP_035432672.2</x:v>
      </x:c>
      <x:c r="AD78" s="19" t="n">
        <x:v>0</x:v>
      </x:c>
      <x:c r="AE78" t="n">
        <x:v>504</x:v>
      </x:c>
      <x:c r="AF78" t="n">
        <x:v>75.692</x:v>
      </x:c>
      <x:c r="AG78" t="n">
        <x:v>99.3884</x:v>
      </x:c>
      <x:c r="AH78" t="n">
        <x:v>99.3884</x:v>
      </x:c>
      <x:c r="AI78" t="str">
        <x:v>sp|Q6IMI6|ST1C3_HUMAN</x:v>
      </x:c>
      <x:c r="AJ78" t="str">
        <x:v>sp|Q6IMI6|ST1C3_HUMAN Sulfotransferase 1C3 OS=Homo sapiens OX=9606 GN=SULT1C3 PE=1 SV=1</x:v>
      </x:c>
      <x:c r="AK78" s="19" t="n">
        <x:v>8.96e-42</x:v>
      </x:c>
      <x:c r="AL78" t="n">
        <x:v>150</x:v>
      </x:c>
      <x:c r="AM78" t="n">
        <x:v>31.5</x:v>
      </x:c>
      <x:c r="AN78" t="n">
        <x:v>77.67584097859327</x:v>
      </x:c>
      <x:c r="AO78" t="n">
        <x:v>83.55263157894737</x:v>
      </x:c>
      <x:c r="AP78" t="n">
        <x:v>0</x:v>
      </x:c>
      <x:c r="AQ78" t="n">
        <x:v>10</x:v>
      </x:c>
      <x:c r="AR78" t="str">
        <x:v>SULT_C001</x:v>
      </x:c>
      <x:c r="AS78" t="n">
        <x:v>7</x:v>
      </x:c>
      <x:c r="AT78" s="17" t="n">
        <x:f>AVERAGE(E78:G78)</x:f>
        <x:v>0.8390213333333333</x:v>
      </x:c>
      <x:c r="AU78" s="17" t="n">
        <x:f>STDEV.S(E78:G78)</x:f>
        <x:v>0.4080526163625634</x:v>
      </x:c>
      <x:c r="AV78" s="17" t="n">
        <x:f>AVERAGE(H78:J78)</x:f>
        <x:v>5.443462666666666</x:v>
      </x:c>
      <x:c r="AW78" s="17" t="n">
        <x:f>STDEV.S(H78:J78)</x:f>
        <x:v>3.6892020857319996</x:v>
      </x:c>
      <x:c r="AX78" s="17" t="n">
        <x:f>AV78-AT78</x:f>
        <x:v>4.604441333333333</x:v>
      </x:c>
      <x:c r="AY78" s="17" t="n">
        <x:f>LOG((AV78+1)/(AT78+1),2)</x:f>
        <x:v>1.808897974167127</x:v>
      </x:c>
      <x:c r="AZ78" s="17" t="n">
        <x:f>AVERAGE(E78:J78)</x:f>
        <x:v>3.1412419999999996</x:v>
      </x:c>
      <x:c r="BA78" s="17" t="n">
        <x:f>MAX(E78:J78)</x:f>
        <x:v>9.62363</x:v>
      </x:c>
      <x:c r="BB78" s="20" t="n">
        <x:f>IF(Q78="provisional_HQ_domain",2,0)+IF(Y78,1,0)+IF(AB78,1,0)+IF(AI78&lt;&gt;"",1,0)+IF(AP78+AQ78&gt;0,1,0)</x:f>
        <x:v>6</x:v>
      </x:c>
      <x:c r="BC78" t="str">
        <x:f>IF(OR(ISNUMBER(SEARCH("exclude",U78)),ISNUMBER(SEARCH("hold",U78)),ISNUMBER(SEARCH("hold",W78))),"Review",IF(BB78&gt;=5,"Strong multi-evidence",IF(BB78&gt;=3,"Supported","Weak/inspect")))</x:f>
        <x:v>Strong multi-evidence</x:v>
      </x:c>
    </x:row>
    <x:row r="79">
      <x:c r="A79" t="str">
        <x:v>SULT</x:v>
      </x:c>
      <x:c r="B79" t="str">
        <x:v>TRINITY_DN13428_c0_g1</x:v>
      </x:c>
      <x:c r="C79" t="str">
        <x:v>yes</x:v>
      </x:c>
      <x:c r="D79" t="n">
        <x:v>6</x:v>
      </x:c>
      <x:c r="E79" s="17" t="n">
        <x:v>0.240016</x:v>
      </x:c>
      <x:c r="F79" s="17" t="n">
        <x:v>0.5344099999999999</x:v>
      </x:c>
      <x:c r="G79" s="17" t="n">
        <x:v>0.12103</x:v>
      </x:c>
      <x:c r="H79" s="17" t="n">
        <x:v>0.314299</x:v>
      </x:c>
      <x:c r="I79" s="17" t="n">
        <x:v>1.307853</x:v>
      </x:c>
      <x:c r="J79" s="17" t="n">
        <x:v>0.061437</x:v>
      </x:c>
      <x:c r="K79" s="17" t="n">
        <x:v>0.287271254</x:v>
      </x:c>
      <x:c r="L79" s="17" t="n">
        <x:v>0.57298028</x:v>
      </x:c>
      <x:c r="M79" s="17" t="n">
        <x:v>0.28570902600000003</x:v>
      </x:c>
      <x:c r="N79" s="18" t="n">
        <x:v>0.936443740549123</x:v>
      </x:c>
      <x:c r="O79" t="str">
        <x:v>TRINITY_DN13428_c0_g1_i1.p1</x:v>
      </x:c>
      <x:c r="P79" t="n">
        <x:v>344</x:v>
      </x:c>
      <x:c r="Q79" t="str">
        <x:v>provisional_HQ_domain</x:v>
      </x:c>
      <x:c r="R79" t="str">
        <x:v>family_defining_domain_detected</x:v>
      </x:c>
      <x:c r="S79" t="str">
        <x:v>IPR000863;PF00685</x:v>
      </x:c>
      <x:c r="T79" t="str">
        <x:v>Sulfotransferase domain</x:v>
      </x:c>
      <x:c r="U79"/>
      <x:c r="V79"/>
      <x:c r="W79"/>
      <x:c r="X79"/>
      <x:c r="Y79" s="15" t="b">
        <x:v>1</x:v>
      </x:c>
      <x:c r="Z79" s="15" t="b">
        <x:v>0</x:v>
      </x:c>
      <x:c r="AA79" s="15" t="b">
        <x:v>1</x:v>
      </x:c>
      <x:c r="AB79" s="15" t="b">
        <x:v>1</x:v>
      </x:c>
      <x:c r="AC79" t="str">
        <x:v>Bmori|XP_004930400.2</x:v>
      </x:c>
      <x:c r="AD79" s="19" t="n">
        <x:v>2.64e-151</x:v>
      </x:c>
      <x:c r="AE79" t="n">
        <x:v>421</x:v>
      </x:c>
      <x:c r="AF79" t="n">
        <x:v>60.534</x:v>
      </x:c>
      <x:c r="AG79" t="n">
        <x:v>98.2507</x:v>
      </x:c>
      <x:c r="AH79" t="n">
        <x:v>97.3988</x:v>
      </x:c>
      <x:c r="AI79" t="str">
        <x:v>sp|A0A173GP47|LST_PHOPY</x:v>
      </x:c>
      <x:c r="AJ79" t="str">
        <x:v>sp|A0A173GP47|LST_PHOPY Luciferin sulfotransferase OS=Photinus pyralis OX=7054 GN=LST PE=1 SV=1</x:v>
      </x:c>
      <x:c r="AK79" s="19" t="n">
        <x:v>2.28e-47</x:v>
      </x:c>
      <x:c r="AL79" t="n">
        <x:v>167</x:v>
      </x:c>
      <x:c r="AM79" t="n">
        <x:v>33.3</x:v>
      </x:c>
      <x:c r="AN79" t="n">
        <x:v>93.58600583090379</x:v>
      </x:c>
      <x:c r="AO79" t="n">
        <x:v>86.75675675675676</x:v>
      </x:c>
      <x:c r="AP79" t="n">
        <x:v>0</x:v>
      </x:c>
      <x:c r="AQ79" t="n">
        <x:v>0</x:v>
      </x:c>
      <x:c r="AR79" t="str">
        <x:v>SULT_C001</x:v>
      </x:c>
      <x:c r="AS79" t="n">
        <x:v>7</x:v>
      </x:c>
      <x:c r="AT79" s="17" t="n">
        <x:f>AVERAGE(E79:G79)</x:f>
        <x:v>0.2984853333333333</x:v>
      </x:c>
      <x:c r="AU79" s="17" t="n">
        <x:f>STDEV.S(E79:G79)</x:f>
        <x:v>0.21280214591336555</x:v>
      </x:c>
      <x:c r="AV79" s="17" t="n">
        <x:f>AVERAGE(H79:J79)</x:f>
        <x:v>0.5611963333333333</x:v>
      </x:c>
      <x:c r="AW79" s="17" t="n">
        <x:f>STDEV.S(H79:J79)</x:f>
        <x:v>0.6588679163302257</x:v>
      </x:c>
      <x:c r="AX79" s="17" t="n">
        <x:f>AV79-AT79</x:f>
        <x:v>0.262711</x:v>
      </x:c>
      <x:c r="AY79" s="17" t="n">
        <x:f>LOG((AV79+1)/(AT79+1),2)</x:f>
        <x:v>0.265822260979544</x:v>
      </x:c>
      <x:c r="AZ79" s="17" t="n">
        <x:f>AVERAGE(E79:J79)</x:f>
        <x:v>0.4298408333333334</x:v>
      </x:c>
      <x:c r="BA79" s="17" t="n">
        <x:f>MAX(E79:J79)</x:f>
        <x:v>1.307853</x:v>
      </x:c>
      <x:c r="BB79" s="20" t="n">
        <x:f>IF(Q79="provisional_HQ_domain",2,0)+IF(Y79,1,0)+IF(AB79,1,0)+IF(AI79&lt;&gt;"",1,0)+IF(AP79+AQ79&gt;0,1,0)</x:f>
        <x:v>5</x:v>
      </x:c>
      <x:c r="BC79" t="str">
        <x:f>IF(OR(ISNUMBER(SEARCH("exclude",U79)),ISNUMBER(SEARCH("hold",U79)),ISNUMBER(SEARCH("hold",W79))),"Review",IF(BB79&gt;=5,"Strong multi-evidence",IF(BB79&gt;=3,"Supported","Weak/inspect")))</x:f>
        <x:v>Strong multi-evidence</x:v>
      </x:c>
    </x:row>
    <x:row r="80">
      <x:c r="A80" t="str">
        <x:v>SULT</x:v>
      </x:c>
      <x:c r="B80" t="str">
        <x:v>TRINITY_DN13428_c0_g2</x:v>
      </x:c>
      <x:c r="C80" t="str">
        <x:v>yes</x:v>
      </x:c>
      <x:c r="D80" t="n">
        <x:v>2</x:v>
      </x:c>
      <x:c r="E80" s="17" t="n">
        <x:v>0.079301</x:v>
      </x:c>
      <x:c r="F80" s="17" t="n">
        <x:v>0.250719</x:v>
      </x:c>
      <x:c r="G80" s="17" t="n">
        <x:v>0.246333</x:v>
      </x:c>
      <x:c r="H80" s="17" t="n">
        <x:v>0.411366</x:v>
      </x:c>
      <x:c r="I80" s="17" t="n">
        <x:v>0.440033</x:v>
      </x:c>
      <x:c r="J80" s="17" t="n">
        <x:v>0.106472</x:v>
      </x:c>
      <x:c r="K80" s="17" t="n">
        <x:v>0.19364534</x:v>
      </x:c>
      <x:c r="L80" s="17" t="n">
        <x:v>0.2856202</x:v>
      </x:c>
      <x:c r="M80" s="17" t="n">
        <x:v>0.09197485999999999</x:v>
      </x:c>
      <x:c r="N80" s="18" t="n">
        <x:v>0.52255951790223</x:v>
      </x:c>
      <x:c r="O80" t="str">
        <x:v>TRINITY_DN13428_c0_g2_i1.p1</x:v>
      </x:c>
      <x:c r="P80" t="n">
        <x:v>345</x:v>
      </x:c>
      <x:c r="Q80" t="str">
        <x:v>provisional_HQ_domain</x:v>
      </x:c>
      <x:c r="R80" t="str">
        <x:v>family_defining_domain_detected</x:v>
      </x:c>
      <x:c r="S80" t="str">
        <x:v>IPR000863;PF00685</x:v>
      </x:c>
      <x:c r="T80" t="str">
        <x:v>Sulfotransferase domain</x:v>
      </x:c>
      <x:c r="U80"/>
      <x:c r="V80"/>
      <x:c r="W80"/>
      <x:c r="X80"/>
      <x:c r="Y80" s="15" t="b">
        <x:v>1</x:v>
      </x:c>
      <x:c r="Z80" s="15" t="b">
        <x:v>0</x:v>
      </x:c>
      <x:c r="AA80" s="15" t="b">
        <x:v>1</x:v>
      </x:c>
      <x:c r="AB80" s="15" t="b">
        <x:v>1</x:v>
      </x:c>
      <x:c r="AC80" t="str">
        <x:v>Spodoptera|XP_050559197.1</x:v>
      </x:c>
      <x:c r="AD80" s="19" t="n">
        <x:v>0</x:v>
      </x:c>
      <x:c r="AE80" t="n">
        <x:v>602</x:v>
      </x:c>
      <x:c r="AF80" t="n">
        <x:v>84.795</x:v>
      </x:c>
      <x:c r="AG80" t="n">
        <x:v>99.4186</x:v>
      </x:c>
      <x:c r="AH80" t="n">
        <x:v>99.7085</x:v>
      </x:c>
      <x:c r="AI80" t="str">
        <x:v>sp|O75897|ST1C4_HUMAN</x:v>
      </x:c>
      <x:c r="AJ80" t="str">
        <x:v>sp|O75897|ST1C4_HUMAN Sulfotransferase 1C4 OS=Homo sapiens OX=9606 GN=SULT1C4 PE=1 SV=2</x:v>
      </x:c>
      <x:c r="AK80" s="19" t="n">
        <x:v>3.58e-54</x:v>
      </x:c>
      <x:c r="AL80" t="n">
        <x:v>182</x:v>
      </x:c>
      <x:c r="AM80" t="n">
        <x:v>34.8</x:v>
      </x:c>
      <x:c r="AN80" t="n">
        <x:v>85.17441860465117</x:v>
      </x:c>
      <x:c r="AO80" t="n">
        <x:v>97.01986754966887</x:v>
      </x:c>
      <x:c r="AP80" t="n">
        <x:v>0</x:v>
      </x:c>
      <x:c r="AQ80" t="n">
        <x:v>0</x:v>
      </x:c>
      <x:c r="AR80" t="str">
        <x:v>SULT_C001</x:v>
      </x:c>
      <x:c r="AS80" t="n">
        <x:v>7</x:v>
      </x:c>
      <x:c r="AT80" s="17" t="n">
        <x:f>AVERAGE(E80:G80)</x:f>
        <x:v>0.19211766666666666</x:v>
      </x:c>
      <x:c r="AU80" s="17" t="n">
        <x:f>STDEV.S(E80:G80)</x:f>
        <x:v>0.09772670800417528</x:v>
      </x:c>
      <x:c r="AV80" s="17" t="n">
        <x:f>AVERAGE(H80:J80)</x:f>
        <x:v>0.31929033333333334</x:v>
      </x:c>
      <x:c r="AW80" s="17" t="n">
        <x:f>STDEV.S(H80:J80)</x:f>
        <x:v>0.18486260161085405</x:v>
      </x:c>
      <x:c r="AX80" s="17" t="n">
        <x:f>AV80-AT80</x:f>
        <x:v>0.12717266666666668</x:v>
      </x:c>
      <x:c r="AY80" s="17" t="n">
        <x:f>LOG((AV80+1)/(AT80+1),2)</x:f>
        <x:v>0.14623544780652734</x:v>
      </x:c>
      <x:c r="AZ80" s="17" t="n">
        <x:f>AVERAGE(E80:J80)</x:f>
        <x:v>0.255704</x:v>
      </x:c>
      <x:c r="BA80" s="17" t="n">
        <x:f>MAX(E80:J80)</x:f>
        <x:v>0.440033</x:v>
      </x:c>
      <x:c r="BB80" s="20" t="n">
        <x:f>IF(Q80="provisional_HQ_domain",2,0)+IF(Y80,1,0)+IF(AB80,1,0)+IF(AI80&lt;&gt;"",1,0)+IF(AP80+AQ80&gt;0,1,0)</x:f>
        <x:v>5</x:v>
      </x:c>
      <x:c r="BC80" t="str">
        <x:f>IF(OR(ISNUMBER(SEARCH("exclude",U80)),ISNUMBER(SEARCH("hold",U80)),ISNUMBER(SEARCH("hold",W80))),"Review",IF(BB80&gt;=5,"Strong multi-evidence",IF(BB80&gt;=3,"Supported","Weak/inspect")))</x:f>
        <x:v>Strong multi-evidence</x:v>
      </x:c>
    </x:row>
    <x:row r="81">
      <x:c r="A81" t="str">
        <x:v>SULT</x:v>
      </x:c>
      <x:c r="B81" t="str">
        <x:v>TRINITY_DN18563_c0_g1</x:v>
      </x:c>
      <x:c r="C81" t="str">
        <x:v>yes</x:v>
      </x:c>
      <x:c r="D81" t="n">
        <x:v>3</x:v>
      </x:c>
      <x:c r="E81" s="17" t="n">
        <x:v>0.172274</x:v>
      </x:c>
      <x:c r="F81" s="17" t="n">
        <x:v>0.644387</x:v>
      </x:c>
      <x:c r="G81" s="17" t="n">
        <x:v>1.677719</x:v>
      </x:c>
      <x:c r="H81" s="17" t="n">
        <x:v>0</x:v>
      </x:c>
      <x:c r="I81" s="17" t="n">
        <x:v>0.062638</x:v>
      </x:c>
      <x:c r="J81" s="17" t="n">
        <x:v>0</x:v>
      </x:c>
      <x:c r="K81" s="17" t="n">
        <x:v>0.8060048</x:v>
      </x:c>
      <x:c r="L81" s="17" t="n">
        <x:v>0.02260902</x:v>
      </x:c>
      <x:c r="M81" s="17" t="n">
        <x:v>-0.78339578</x:v>
      </x:c>
      <x:c r="N81" s="18" t="n">
        <x:v>0.0880568816237983</x:v>
      </x:c>
      <x:c r="O81" t="str">
        <x:v>TRINITY_DN18563_c0_g1_i1.p1</x:v>
      </x:c>
      <x:c r="P81" t="n">
        <x:v>228</x:v>
      </x:c>
      <x:c r="Q81" t="str">
        <x:v>provisional_HQ_domain</x:v>
      </x:c>
      <x:c r="R81" t="str">
        <x:v>family_defining_domain_detected</x:v>
      </x:c>
      <x:c r="S81" t="str">
        <x:v>IPR000863;PF00685</x:v>
      </x:c>
      <x:c r="T81" t="str">
        <x:v>Sulfotransferase domain</x:v>
      </x:c>
      <x:c r="U81"/>
      <x:c r="V81"/>
      <x:c r="W81"/>
      <x:c r="X81"/>
      <x:c r="Y81" s="15" t="b">
        <x:v>1</x:v>
      </x:c>
      <x:c r="Z81" s="15" t="b">
        <x:v>0</x:v>
      </x:c>
      <x:c r="AA81" s="15" t="b">
        <x:v>1</x:v>
      </x:c>
      <x:c r="AB81" s="15" t="b">
        <x:v>1</x:v>
      </x:c>
      <x:c r="AC81" t="str">
        <x:v>Spodoptera|XP_035436318.2</x:v>
      </x:c>
      <x:c r="AD81" s="19" t="n">
        <x:v>2.18e-110</x:v>
      </x:c>
      <x:c r="AE81" t="n">
        <x:v>312</x:v>
      </x:c>
      <x:c r="AF81" t="n">
        <x:v>64.348</x:v>
      </x:c>
      <x:c r="AG81" t="n">
        <x:v>100.877</x:v>
      </x:c>
      <x:c r="AH81" t="n">
        <x:v>65.5271</x:v>
      </x:c>
      <x:c r="AI81" t="str">
        <x:v>sp|A0A173GP47|LST_PHOPY</x:v>
      </x:c>
      <x:c r="AJ81" t="str">
        <x:v>sp|A0A173GP47|LST_PHOPY Luciferin sulfotransferase OS=Photinus pyralis OX=7054 GN=LST PE=1 SV=1</x:v>
      </x:c>
      <x:c r="AK81" s="19" t="n">
        <x:v>2.85e-43</x:v>
      </x:c>
      <x:c r="AL81" t="n">
        <x:v>152</x:v>
      </x:c>
      <x:c r="AM81" t="n">
        <x:v>38.5</x:v>
      </x:c>
      <x:c r="AN81" t="n">
        <x:v>101.3157894736842</x:v>
      </x:c>
      <x:c r="AO81" t="n">
        <x:v>62.432432432432435</x:v>
      </x:c>
      <x:c r="AP81" t="n">
        <x:v>0</x:v>
      </x:c>
      <x:c r="AQ81" t="n">
        <x:v>0</x:v>
      </x:c>
      <x:c r="AR81" t="str">
        <x:v>SULT_C001</x:v>
      </x:c>
      <x:c r="AS81" t="n">
        <x:v>7</x:v>
      </x:c>
      <x:c r="AT81" s="17" t="n">
        <x:f>AVERAGE(E81:G81)</x:f>
        <x:v>0.83146</x:v>
      </x:c>
      <x:c r="AU81" s="17" t="n">
        <x:f>STDEV.S(E81:G81)</x:f>
        <x:v>0.7699599940925501</x:v>
      </x:c>
      <x:c r="AV81" s="17" t="n">
        <x:f>AVERAGE(H81:J81)</x:f>
        <x:v>0.020879333333333333</x:v>
      </x:c>
      <x:c r="AW81" s="17" t="n">
        <x:f>STDEV.S(H81:J81)</x:f>
        <x:v>0.036164066161499774</x:v>
      </x:c>
      <x:c r="AX81" s="17" t="n">
        <x:f>AV81-AT81</x:f>
        <x:v>-0.8105806666666666</x:v>
      </x:c>
      <x:c r="AY81" s="17" t="n">
        <x:f>LOG((AV81+1)/(AT81+1),2)</x:f>
        <x:v>-0.8431818406766952</x:v>
      </x:c>
      <x:c r="AZ81" s="17" t="n">
        <x:f>AVERAGE(E81:J81)</x:f>
        <x:v>0.4261696666666667</x:v>
      </x:c>
      <x:c r="BA81" s="17" t="n">
        <x:f>MAX(E81:J81)</x:f>
        <x:v>1.677719</x:v>
      </x:c>
      <x:c r="BB81" s="20" t="n">
        <x:f>IF(Q81="provisional_HQ_domain",2,0)+IF(Y81,1,0)+IF(AB81,1,0)+IF(AI81&lt;&gt;"",1,0)+IF(AP81+AQ81&gt;0,1,0)</x:f>
        <x:v>5</x:v>
      </x:c>
      <x:c r="BC81" t="str">
        <x:f>IF(OR(ISNUMBER(SEARCH("exclude",U81)),ISNUMBER(SEARCH("hold",U81)),ISNUMBER(SEARCH("hold",W81))),"Review",IF(BB81&gt;=5,"Strong multi-evidence",IF(BB81&gt;=3,"Supported","Weak/inspect")))</x:f>
        <x:v>Strong multi-evidence</x:v>
      </x:c>
    </x:row>
    <x:row r="82">
      <x:c r="A82" t="str">
        <x:v>SULT</x:v>
      </x:c>
      <x:c r="B82" t="str">
        <x:v>TRINITY_DN1884_c0_g1</x:v>
      </x:c>
      <x:c r="C82" t="str">
        <x:v>yes</x:v>
      </x:c>
      <x:c r="D82" t="n">
        <x:v>13</x:v>
      </x:c>
      <x:c r="E82" s="17" t="n">
        <x:v>60.328386</x:v>
      </x:c>
      <x:c r="F82" s="17" t="n">
        <x:v>104.456856</x:v>
      </x:c>
      <x:c r="G82" s="17" t="n">
        <x:v>41.575593</x:v>
      </x:c>
      <x:c r="H82" s="17" t="n">
        <x:v>48.481214</x:v>
      </x:c>
      <x:c r="I82" s="17" t="n">
        <x:v>85.29727199999999</x:v>
      </x:c>
      <x:c r="J82" s="17" t="n">
        <x:v>108.355405</x:v>
      </x:c>
      <x:c r="K82" s="17" t="n">
        <x:v>66.6467667</x:v>
      </x:c>
      <x:c r="L82" s="17" t="n">
        <x:v>81.4085734</x:v>
      </x:c>
      <x:c r="M82" s="17" t="n">
        <x:v>14.761806699999994</x:v>
      </x:c>
      <x:c r="N82" s="18" t="n">
        <x:v>0.00741900122887147</x:v>
      </x:c>
      <x:c r="O82" t="str">
        <x:v>TRINITY_DN1884_c0_g1_i17.p1</x:v>
      </x:c>
      <x:c r="P82" t="n">
        <x:v>343</x:v>
      </x:c>
      <x:c r="Q82" t="str">
        <x:v>provisional_HQ_domain</x:v>
      </x:c>
      <x:c r="R82" t="str">
        <x:v>family_defining_domain_detected</x:v>
      </x:c>
      <x:c r="S82" t="str">
        <x:v>IPR000863;PF00685</x:v>
      </x:c>
      <x:c r="T82" t="str">
        <x:v>Sulfotransferase domain</x:v>
      </x:c>
      <x:c r="U82"/>
      <x:c r="V82"/>
      <x:c r="W82"/>
      <x:c r="X82"/>
      <x:c r="Y82" s="15" t="b">
        <x:v>1</x:v>
      </x:c>
      <x:c r="Z82" s="15" t="b">
        <x:v>0</x:v>
      </x:c>
      <x:c r="AA82" s="15" t="b">
        <x:v>1</x:v>
      </x:c>
      <x:c r="AB82" s="15" t="b">
        <x:v>1</x:v>
      </x:c>
      <x:c r="AC82" t="str">
        <x:v>Spodoptera|XP_035433286.1</x:v>
      </x:c>
      <x:c r="AD82" s="19" t="n">
        <x:v>0</x:v>
      </x:c>
      <x:c r="AE82" t="n">
        <x:v>555</x:v>
      </x:c>
      <x:c r="AF82" t="n">
        <x:v>72.965</x:v>
      </x:c>
      <x:c r="AG82" t="n">
        <x:v>100.585</x:v>
      </x:c>
      <x:c r="AH82" t="n">
        <x:v>100</x:v>
      </x:c>
      <x:c r="AI82" t="str">
        <x:v>sp|O75897|ST1C4_HUMAN</x:v>
      </x:c>
      <x:c r="AJ82" t="str">
        <x:v>sp|O75897|ST1C4_HUMAN Sulfotransferase 1C4 OS=Homo sapiens OX=9606 GN=SULT1C4 PE=1 SV=2</x:v>
      </x:c>
      <x:c r="AK82" s="19" t="n">
        <x:v>3.47e-41</x:v>
      </x:c>
      <x:c r="AL82" t="n">
        <x:v>149</x:v>
      </x:c>
      <x:c r="AM82" t="n">
        <x:v>31</x:v>
      </x:c>
      <x:c r="AN82" t="n">
        <x:v>87.71929824561404</x:v>
      </x:c>
      <x:c r="AO82" t="n">
        <x:v>99.33774834437087</x:v>
      </x:c>
      <x:c r="AP82" t="n">
        <x:v>0</x:v>
      </x:c>
      <x:c r="AQ82" t="n">
        <x:v>0</x:v>
      </x:c>
      <x:c r="AR82" t="str">
        <x:v>SULT_C001</x:v>
      </x:c>
      <x:c r="AS82" t="n">
        <x:v>7</x:v>
      </x:c>
      <x:c r="AT82" s="17" t="n">
        <x:f>AVERAGE(E82:G82)</x:f>
        <x:v>68.786945</x:v>
      </x:c>
      <x:c r="AU82" s="17" t="n">
        <x:f>STDEV.S(E82:G82)</x:f>
        <x:v>32.28271556709802</x:v>
      </x:c>
      <x:c r="AV82" s="17" t="n">
        <x:f>AVERAGE(H82:J82)</x:f>
        <x:v>80.711297</x:v>
      </x:c>
      <x:c r="AW82" s="17" t="n">
        <x:f>STDEV.S(H82:J82)</x:f>
        <x:v>30.199388437542723</x:v>
      </x:c>
      <x:c r="AX82" s="17" t="n">
        <x:f>AV82-AT82</x:f>
        <x:v>11.924351999999999</x:v>
      </x:c>
      <x:c r="AY82" s="17" t="n">
        <x:f>LOG((AV82+1)/(AT82+1),2)</x:f>
        <x:v>0.22757837442558584</x:v>
      </x:c>
      <x:c r="AZ82" s="17" t="n">
        <x:f>AVERAGE(E82:J82)</x:f>
        <x:v>74.749121</x:v>
      </x:c>
      <x:c r="BA82" s="17" t="n">
        <x:f>MAX(E82:J82)</x:f>
        <x:v>108.355405</x:v>
      </x:c>
      <x:c r="BB82" s="20" t="n">
        <x:f>IF(Q82="provisional_HQ_domain",2,0)+IF(Y82,1,0)+IF(AB82,1,0)+IF(AI82&lt;&gt;"",1,0)+IF(AP82+AQ82&gt;0,1,0)</x:f>
        <x:v>5</x:v>
      </x:c>
      <x:c r="BC82" t="str">
        <x:f>IF(OR(ISNUMBER(SEARCH("exclude",U82)),ISNUMBER(SEARCH("hold",U82)),ISNUMBER(SEARCH("hold",W82))),"Review",IF(BB82&gt;=5,"Strong multi-evidence",IF(BB82&gt;=3,"Supported","Weak/inspect")))</x:f>
        <x:v>Strong multi-evidence</x:v>
      </x:c>
    </x:row>
    <x:row r="83">
      <x:c r="A83" t="str">
        <x:v>SULT</x:v>
      </x:c>
      <x:c r="B83" t="str">
        <x:v>TRINITY_DN260_c1_g1</x:v>
      </x:c>
      <x:c r="C83" t="str">
        <x:v>yes</x:v>
      </x:c>
      <x:c r="D83" t="n">
        <x:v>8</x:v>
      </x:c>
      <x:c r="E83" s="17" t="n">
        <x:v>460.727667</x:v>
      </x:c>
      <x:c r="F83" s="17" t="n">
        <x:v>723.701139</x:v>
      </x:c>
      <x:c r="G83" s="17" t="n">
        <x:v>381.201308</x:v>
      </x:c>
      <x:c r="H83" s="17" t="n">
        <x:v>374.594053</x:v>
      </x:c>
      <x:c r="I83" s="17" t="n">
        <x:v>345.946152</x:v>
      </x:c>
      <x:c r="J83" s="17" t="n">
        <x:v>455.796607</x:v>
      </x:c>
      <x:c r="K83" s="17" t="n">
        <x:v>448.28376538000003</x:v>
      </x:c>
      <x:c r="L83" s="17" t="n">
        <x:v>327.8480732</x:v>
      </x:c>
      <x:c r="M83" s="17" t="n">
        <x:v>-120.43569218000005</x:v>
      </x:c>
      <x:c r="N83" s="18" t="n">
        <x:v>2.38922223377513e-7</x:v>
      </x:c>
      <x:c r="O83" t="str">
        <x:v>TRINITY_DN260_c1_g1_i12.p1</x:v>
      </x:c>
      <x:c r="P83" t="n">
        <x:v>354</x:v>
      </x:c>
      <x:c r="Q83" t="str">
        <x:v>provisional_HQ_domain</x:v>
      </x:c>
      <x:c r="R83" t="str">
        <x:v>family_defining_domain_detected</x:v>
      </x:c>
      <x:c r="S83" t="str">
        <x:v>IPR000863;PF00685</x:v>
      </x:c>
      <x:c r="T83" t="str">
        <x:v>Sulfotransferase domain</x:v>
      </x:c>
      <x:c r="U83"/>
      <x:c r="V83"/>
      <x:c r="W83"/>
      <x:c r="X83"/>
      <x:c r="Y83" s="15" t="b">
        <x:v>1</x:v>
      </x:c>
      <x:c r="Z83" s="15" t="b">
        <x:v>0</x:v>
      </x:c>
      <x:c r="AA83" s="15" t="b">
        <x:v>1</x:v>
      </x:c>
      <x:c r="AB83" s="15" t="b">
        <x:v>1</x:v>
      </x:c>
      <x:c r="AC83" t="str">
        <x:v>Spodoptera|XP_050559191.1</x:v>
      </x:c>
      <x:c r="AD83" s="19" t="n">
        <x:v>0</x:v>
      </x:c>
      <x:c r="AE83" t="n">
        <x:v>535</x:v>
      </x:c>
      <x:c r="AF83" t="n">
        <x:v>74.221</x:v>
      </x:c>
      <x:c r="AG83" t="n">
        <x:v>100</x:v>
      </x:c>
      <x:c r="AH83" t="n">
        <x:v>100.284</x:v>
      </x:c>
      <x:c r="AI83" t="str">
        <x:v>sp|A0A173GP47|LST_PHOPY</x:v>
      </x:c>
      <x:c r="AJ83" t="str">
        <x:v>sp|A0A173GP47|LST_PHOPY Luciferin sulfotransferase OS=Photinus pyralis OX=7054 GN=LST PE=1 SV=1</x:v>
      </x:c>
      <x:c r="AK83" s="19" t="n">
        <x:v>2.46e-50</x:v>
      </x:c>
      <x:c r="AL83" t="n">
        <x:v>175</x:v>
      </x:c>
      <x:c r="AM83" t="n">
        <x:v>35.7</x:v>
      </x:c>
      <x:c r="AN83" t="n">
        <x:v>88.95184135977337</x:v>
      </x:c>
      <x:c r="AO83" t="n">
        <x:v>84.86486486486487</x:v>
      </x:c>
      <x:c r="AP83" t="n">
        <x:v>0</x:v>
      </x:c>
      <x:c r="AQ83" t="n">
        <x:v>0</x:v>
      </x:c>
      <x:c r="AR83" t="str">
        <x:v>SULT_C001</x:v>
      </x:c>
      <x:c r="AS83" t="n">
        <x:v>7</x:v>
      </x:c>
      <x:c r="AT83" s="17" t="n">
        <x:f>AVERAGE(E83:G83)</x:f>
        <x:v>521.8767046666666</x:v>
      </x:c>
      <x:c r="AU83" s="17" t="n">
        <x:f>STDEV.S(E83:G83)</x:f>
        <x:v>179.25104508600978</x:v>
      </x:c>
      <x:c r="AV83" s="17" t="n">
        <x:f>AVERAGE(H83:J83)</x:f>
        <x:v>392.1122706666667</x:v>
      </x:c>
      <x:c r="AW83" s="17" t="n">
        <x:f>STDEV.S(H83:J83)</x:f>
        <x:v>56.98198468454123</x:v>
      </x:c>
      <x:c r="AX83" s="17" t="n">
        <x:f>AV83-AT83</x:f>
        <x:v>-129.76443399999988</x:v>
      </x:c>
      <x:c r="AY83" s="17" t="n">
        <x:f>LOG((AV83+1)/(AT83+1),2)</x:f>
        <x:v>-0.4115293993383297</x:v>
      </x:c>
      <x:c r="AZ83" s="17" t="n">
        <x:f>AVERAGE(E83:J83)</x:f>
        <x:v>456.99448766666666</x:v>
      </x:c>
      <x:c r="BA83" s="17" t="n">
        <x:f>MAX(E83:J83)</x:f>
        <x:v>723.701139</x:v>
      </x:c>
      <x:c r="BB83" s="20" t="n">
        <x:f>IF(Q83="provisional_HQ_domain",2,0)+IF(Y83,1,0)+IF(AB83,1,0)+IF(AI83&lt;&gt;"",1,0)+IF(AP83+AQ83&gt;0,1,0)</x:f>
        <x:v>5</x:v>
      </x:c>
      <x:c r="BC83" t="str">
        <x:f>IF(OR(ISNUMBER(SEARCH("exclude",U83)),ISNUMBER(SEARCH("hold",U83)),ISNUMBER(SEARCH("hold",W83))),"Review",IF(BB83&gt;=5,"Strong multi-evidence",IF(BB83&gt;=3,"Supported","Weak/inspect")))</x:f>
        <x:v>Strong multi-evidence</x:v>
      </x:c>
    </x:row>
    <x:row r="84">
      <x:c r="A84" t="str">
        <x:v>SULT</x:v>
      </x:c>
      <x:c r="B84" t="str">
        <x:v>TRINITY_DN275_c0_g1</x:v>
      </x:c>
      <x:c r="C84" t="str">
        <x:v>no</x:v>
      </x:c>
      <x:c r="D84" t="n">
        <x:v>12</x:v>
      </x:c>
      <x:c r="E84" s="17" t="n">
        <x:v>5.164658</x:v>
      </x:c>
      <x:c r="F84" s="17" t="n">
        <x:v>9.938026</x:v>
      </x:c>
      <x:c r="G84" s="17" t="n">
        <x:v>6.101466</x:v>
      </x:c>
      <x:c r="H84" s="17" t="n">
        <x:v>9.709106</x:v>
      </x:c>
      <x:c r="I84" s="17" t="n">
        <x:v>8.179689</x:v>
      </x:c>
      <x:c r="J84" s="17" t="n">
        <x:v>9.885457</x:v>
      </x:c>
      <x:c r="K84" s="17" t="n">
        <x:v>6.24017958</x:v>
      </x:c>
      <x:c r="L84" s="17" t="n">
        <x:v>7.9377181000000006</x:v>
      </x:c>
      <x:c r="M84" s="17" t="n">
        <x:v>1.6975385200000002</x:v>
      </x:c>
      <x:c r="N84" s="18" t="n">
        <x:v>0.261098516650537</x:v>
      </x:c>
      <x:c r="O84" t="str">
        <x:v>TRINITY_DN275_c0_g1_i16.p1</x:v>
      </x:c>
      <x:c r="P84" t="n">
        <x:v>330</x:v>
      </x:c>
      <x:c r="Q84" t="str">
        <x:v>review</x:v>
      </x:c>
      <x:c r="R84" t="str">
        <x:v>no_family_defining_domain_in_current_core_table</x:v>
      </x:c>
      <x:c r="S84" t="str">
        <x:v>PF13469</x:v>
      </x:c>
      <x:c r="T84" t="str">
        <x:v>Sulfotransferase family</x:v>
      </x:c>
      <x:c r="U84" t="str">
        <x:v>exclude_from_cytosolic_SULT</x:v>
      </x:c>
      <x:c r="V84" t="str">
        <x:v>non-cytosolic sulfotransferase class; PF00685/IPR000863 absent</x:v>
      </x:c>
      <x:c r="W84"/>
      <x:c r="X84"/>
      <x:c r="Y84" s="15" t="b">
        <x:v>1</x:v>
      </x:c>
      <x:c r="Z84" s="15" t="b">
        <x:v>0</x:v>
      </x:c>
      <x:c r="AA84" s="15" t="b">
        <x:v>1</x:v>
      </x:c>
      <x:c r="AB84" s="15" t="b">
        <x:v>1</x:v>
      </x:c>
      <x:c r="AC84" t="str">
        <x:v>Spodoptera|XP_035436301.1</x:v>
      </x:c>
      <x:c r="AD84" s="19" t="n">
        <x:v>0</x:v>
      </x:c>
      <x:c r="AE84" t="n">
        <x:v>614</x:v>
      </x:c>
      <x:c r="AF84" t="n">
        <x:v>94.495</x:v>
      </x:c>
      <x:c r="AG84" t="n">
        <x:v>99.3921</x:v>
      </x:c>
      <x:c r="AH84" t="n">
        <x:v>95.8944</x:v>
      </x:c>
      <x:c r="AI84" t="str">
        <x:v>sp|Q9VYB7|TPST_DROME</x:v>
      </x:c>
      <x:c r="AJ84" t="str">
        <x:v>sp|Q9VYB7|TPST_DROME Protein-tyrosine sulfotransferase OS=Drosophila melanogaster OX=7227 GN=Tpst PE=2 SV=2</x:v>
      </x:c>
      <x:c r="AK84" s="19" t="n">
        <x:v>4.04e-152</x:v>
      </x:c>
      <x:c r="AL84" t="n">
        <x:v>439</x:v>
      </x:c>
      <x:c r="AM84" t="n">
        <x:v>73.6</x:v>
      </x:c>
      <x:c r="AN84" t="n">
        <x:v>81.7629179331307</x:v>
      </x:c>
      <x:c r="AO84" t="n">
        <x:v>53.90781563126252</x:v>
      </x:c>
      <x:c r="AP84" t="n">
        <x:v>0</x:v>
      </x:c>
      <x:c r="AQ84" t="n">
        <x:v>0</x:v>
      </x:c>
      <x:c r="AR84" t="str">
        <x:v>SULT_C002</x:v>
      </x:c>
      <x:c r="AS84" t="n">
        <x:v>1</x:v>
      </x:c>
      <x:c r="AT84" s="17" t="n">
        <x:f>AVERAGE(E84:G84)</x:f>
        <x:v>7.0680499999999995</x:v>
      </x:c>
      <x:c r="AU84" s="17" t="n">
        <x:f>STDEV.S(E84:G84)</x:f>
        <x:v>2.5292239892204096</x:v>
      </x:c>
      <x:c r="AV84" s="17" t="n">
        <x:f>AVERAGE(H84:J84)</x:f>
        <x:v>9.258084000000002</x:v>
      </x:c>
      <x:c r="AW84" s="17" t="n">
        <x:f>STDEV.S(H84:J84)</x:f>
        <x:v>0.9380707600277288</x:v>
      </x:c>
      <x:c r="AX84" s="17" t="n">
        <x:f>AV84-AT84</x:f>
        <x:v>2.1900340000000025</x:v>
      </x:c>
      <x:c r="AY84" s="17" t="n">
        <x:f>LOG((AV84+1)/(AT84+1),2)</x:f>
        <x:v>0.346469360338123</x:v>
      </x:c>
      <x:c r="AZ84" s="17" t="n">
        <x:f>AVERAGE(E84:J84)</x:f>
        <x:v>8.163067</x:v>
      </x:c>
      <x:c r="BA84" s="17" t="n">
        <x:f>MAX(E84:J84)</x:f>
        <x:v>9.938026</x:v>
      </x:c>
      <x:c r="BB84" s="20" t="n">
        <x:f>IF(Q84="provisional_HQ_domain",2,0)+IF(Y84,1,0)+IF(AB84,1,0)+IF(AI84&lt;&gt;"",1,0)+IF(AP84+AQ84&gt;0,1,0)</x:f>
        <x:v>3</x:v>
      </x:c>
      <x:c r="BC84" t="str">
        <x:f>IF(OR(ISNUMBER(SEARCH("exclude",U84)),ISNUMBER(SEARCH("hold",U84)),ISNUMBER(SEARCH("hold",W84))),"Review",IF(BB84&gt;=5,"Strong multi-evidence",IF(BB84&gt;=3,"Supported","Weak/inspect")))</x:f>
        <x:v>Review</x:v>
      </x:c>
    </x:row>
    <x:row r="85">
      <x:c r="A85" t="str">
        <x:v>SULT</x:v>
      </x:c>
      <x:c r="B85" t="str">
        <x:v>TRINITY_DN27959_c0_g1</x:v>
      </x:c>
      <x:c r="C85" t="str">
        <x:v>no</x:v>
      </x:c>
      <x:c r="D85" t="n">
        <x:v>2</x:v>
      </x:c>
      <x:c r="E85" s="17" t="n">
        <x:v>0.071259</x:v>
      </x:c>
      <x:c r="F85" s="17" t="n">
        <x:v>0.16493</x:v>
      </x:c>
      <x:c r="G85" s="17" t="n">
        <x:v>0.9604349999999999</x:v>
      </x:c>
      <x:c r="H85" s="17" t="n">
        <x:v>0.111798</x:v>
      </x:c>
      <x:c r="I85" s="17" t="n">
        <x:v>0.089698</x:v>
      </x:c>
      <x:c r="J85" s="17" t="n">
        <x:v>0.084282</x:v>
      </x:c>
      <x:c r="K85" s="17" t="n">
        <x:v>0.40467638</x:v>
      </x:c>
      <x:c r="L85" s="17" t="n">
        <x:v>0.07858782</x:v>
      </x:c>
      <x:c r="M85" s="17" t="n">
        <x:v>-0.32608855999999997</x:v>
      </x:c>
      <x:c r="N85" s="18" t="n">
        <x:v>0.895319426882355</x:v>
      </x:c>
      <x:c r="O85" t="str">
        <x:v>TRINITY_DN27959_c0_g1_i2.p1</x:v>
      </x:c>
      <x:c r="P85" t="n">
        <x:v>432</x:v>
      </x:c>
      <x:c r="Q85" t="str">
        <x:v>review</x:v>
      </x:c>
      <x:c r="R85" t="str">
        <x:v>no_family_defining_domain_in_current_core_table</x:v>
      </x:c>
      <x:c r="S85" t="str">
        <x:v>IPR005331;PF03567</x:v>
      </x:c>
      <x:c r="T85" t="str">
        <x:v>Sulfotransferase;Sulfotransferase family</x:v>
      </x:c>
      <x:c r="U85" t="str">
        <x:v>exclude_from_cytosolic_SULT</x:v>
      </x:c>
      <x:c r="V85" t="str">
        <x:v>non-cytosolic sulfotransferase class; PF00685/IPR000863 absent</x:v>
      </x:c>
      <x:c r="W85"/>
      <x:c r="X85"/>
      <x:c r="Y85" s="15" t="b">
        <x:v>1</x:v>
      </x:c>
      <x:c r="Z85" s="15" t="b">
        <x:v>0</x:v>
      </x:c>
      <x:c r="AA85" s="15" t="b">
        <x:v>1</x:v>
      </x:c>
      <x:c r="AB85" s="15" t="b">
        <x:v>1</x:v>
      </x:c>
      <x:c r="AC85" t="str">
        <x:v>Spodoptera|XP_050549308.1</x:v>
      </x:c>
      <x:c r="AD85" s="19" t="n">
        <x:v>0</x:v>
      </x:c>
      <x:c r="AE85" t="n">
        <x:v>795</x:v>
      </x:c>
      <x:c r="AF85" t="n">
        <x:v>93.72</x:v>
      </x:c>
      <x:c r="AG85" t="n">
        <x:v>96.0557</x:v>
      </x:c>
      <x:c r="AH85" t="n">
        <x:v>96.0557</x:v>
      </x:c>
      <x:c r="AI85" t="str">
        <x:v>sp|Q86BJ3|UST_DROME</x:v>
      </x:c>
      <x:c r="AJ85" t="str">
        <x:v>sp|Q86BJ3|UST_DROME Uronyl 2-sulfotransferase homolog pip OS=Drosophila melanogaster OX=7227 GN=pip PE=1 SV=1</x:v>
      </x:c>
      <x:c r="AK85" s="19" t="n">
        <x:v>8.85e-96</x:v>
      </x:c>
      <x:c r="AL85" t="n">
        <x:v>300</x:v>
      </x:c>
      <x:c r="AM85" t="n">
        <x:v>38</x:v>
      </x:c>
      <x:c r="AN85" t="n">
        <x:v>109.97679814385151</x:v>
      </x:c>
      <x:c r="AO85" t="n">
        <x:v>92.21789883268482</x:v>
      </x:c>
      <x:c r="AP85" t="n">
        <x:v>0</x:v>
      </x:c>
      <x:c r="AQ85" t="n">
        <x:v>0</x:v>
      </x:c>
      <x:c r="AR85" t="str">
        <x:v>SULT_C003</x:v>
      </x:c>
      <x:c r="AS85" t="n">
        <x:v>1</x:v>
      </x:c>
      <x:c r="AT85" s="17" t="n">
        <x:f>AVERAGE(E85:G85)</x:f>
        <x:v>0.39887466666666666</x:v>
      </x:c>
      <x:c r="AU85" s="17" t="n">
        <x:f>STDEV.S(E85:G85)</x:f>
        <x:v>0.48857555202888864</x:v>
      </x:c>
      <x:c r="AV85" s="17" t="n">
        <x:f>AVERAGE(H85:J85)</x:f>
        <x:v>0.09525933333333332</x:v>
      </x:c>
      <x:c r="AW85" s="17" t="n">
        <x:f>STDEV.S(H85:J85)</x:f>
        <x:v>0.01457665549203017</x:v>
      </x:c>
      <x:c r="AX85" s="17" t="n">
        <x:f>AV85-AT85</x:f>
        <x:v>-0.30361533333333335</x:v>
      </x:c>
      <x:c r="AY85" s="17" t="n">
        <x:f>LOG((AV85+1)/(AT85+1),2)</x:f>
        <x:v>-0.352994200091219</x:v>
      </x:c>
      <x:c r="AZ85" s="17" t="n">
        <x:f>AVERAGE(E85:J85)</x:f>
        <x:v>0.247067</x:v>
      </x:c>
      <x:c r="BA85" s="17" t="n">
        <x:f>MAX(E85:J85)</x:f>
        <x:v>0.9604349999999999</x:v>
      </x:c>
      <x:c r="BB85" s="20" t="n">
        <x:f>IF(Q85="provisional_HQ_domain",2,0)+IF(Y85,1,0)+IF(AB85,1,0)+IF(AI85&lt;&gt;"",1,0)+IF(AP85+AQ85&gt;0,1,0)</x:f>
        <x:v>3</x:v>
      </x:c>
      <x:c r="BC85" t="str">
        <x:f>IF(OR(ISNUMBER(SEARCH("exclude",U85)),ISNUMBER(SEARCH("hold",U85)),ISNUMBER(SEARCH("hold",W85))),"Review",IF(BB85&gt;=5,"Strong multi-evidence",IF(BB85&gt;=3,"Supported","Weak/inspect")))</x:f>
        <x:v>Review</x:v>
      </x:c>
    </x:row>
    <x:row r="86">
      <x:c r="A86" t="str">
        <x:v>SULT</x:v>
      </x:c>
      <x:c r="B86" t="str">
        <x:v>TRINITY_DN5927_c0_g1</x:v>
      </x:c>
      <x:c r="C86" t="str">
        <x:v>yes</x:v>
      </x:c>
      <x:c r="D86" t="n">
        <x:v>13</x:v>
      </x:c>
      <x:c r="E86" s="17" t="n">
        <x:v>116.516503</x:v>
      </x:c>
      <x:c r="F86" s="17" t="n">
        <x:v>220.669767</x:v>
      </x:c>
      <x:c r="G86" s="17" t="n">
        <x:v>168.25462000000002</x:v>
      </x:c>
      <x:c r="H86" s="17" t="n">
        <x:v>118.991785</x:v>
      </x:c>
      <x:c r="I86" s="17" t="n">
        <x:v>104.788347</x:v>
      </x:c>
      <x:c r="J86" s="17" t="n">
        <x:v>66.246954</x:v>
      </x:c>
      <x:c r="K86" s="17" t="n">
        <x:v>144.25169668</x:v>
      </x:c>
      <x:c r="L86" s="17" t="n">
        <x:v>82.034120538</x:v>
      </x:c>
      <x:c r="M86" s="17" t="n">
        <x:v>-62.21757614200001</x:v>
      </x:c>
      <x:c r="N86" s="18" t="n">
        <x:v>0.000380082727223878</x:v>
      </x:c>
      <x:c r="O86" t="str">
        <x:v>TRINITY_DN5927_c0_g1_i23.p1</x:v>
      </x:c>
      <x:c r="P86" t="n">
        <x:v>416</x:v>
      </x:c>
      <x:c r="Q86" t="str">
        <x:v>provisional_HQ_domain</x:v>
      </x:c>
      <x:c r="R86" t="str">
        <x:v>family_defining_domain_detected</x:v>
      </x:c>
      <x:c r="S86" t="str">
        <x:v>IPR000863;IPR004210;IPR006578;IPR027806;PF00685;PF02944;PF10545;PF13359</x:v>
      </x:c>
      <x:c r="T86" t="str">
        <x:v>Alcohol dehydrogenase transcription factor Myb/SANT-like;BESS motif;DDE superfamily endonuclease;Harbinger transposase-derived nuclease domain;MADF domain;Sulfotransferase domain</x:v>
      </x:c>
      <x:c r="U86"/>
      <x:c r="V86"/>
      <x:c r="W86"/>
      <x:c r="X86"/>
      <x:c r="Y86" s="15" t="b">
        <x:v>1</x:v>
      </x:c>
      <x:c r="Z86" s="15" t="b">
        <x:v>0</x:v>
      </x:c>
      <x:c r="AA86" s="15" t="b">
        <x:v>1</x:v>
      </x:c>
      <x:c r="AB86" s="15" t="b">
        <x:v>1</x:v>
      </x:c>
      <x:c r="AC86" t="str">
        <x:v>Spodoptera|XP_035442818.1</x:v>
      </x:c>
      <x:c r="AD86" s="19" t="n">
        <x:v>1.8e-112</x:v>
      </x:c>
      <x:c r="AE86" t="n">
        <x:v>327</x:v>
      </x:c>
      <x:c r="AF86" t="n">
        <x:v>44.414</x:v>
      </x:c>
      <x:c r="AG86" t="n">
        <x:v>88.4337</x:v>
      </x:c>
      <x:c r="AH86" t="n">
        <x:v>94.1026</x:v>
      </x:c>
      <x:c r="AI86" t="str">
        <x:v>sp|Q9M2U3|ALPL_ARATH</x:v>
      </x:c>
      <x:c r="AJ86" t="str">
        <x:v>sp|Q9M2U3|ALPL_ARATH Protein ALP1-like OS=Arabidopsis thaliana OX=3702 GN=At3g55350 PE=2 SV=1</x:v>
      </x:c>
      <x:c r="AK86" s="19" t="n">
        <x:v>4.43e-23</x:v>
      </x:c>
      <x:c r="AL86" t="n">
        <x:v>103</x:v>
      </x:c>
      <x:c r="AM86" t="n">
        <x:v>27.5</x:v>
      </x:c>
      <x:c r="AN86" t="n">
        <x:v>73.73493975903614</x:v>
      </x:c>
      <x:c r="AO86" t="n">
        <x:v>75.36945812807882</x:v>
      </x:c>
      <x:c r="AP86" t="n">
        <x:v>0</x:v>
      </x:c>
      <x:c r="AQ86" t="n">
        <x:v>0</x:v>
      </x:c>
      <x:c r="AR86" t="str">
        <x:v>SULT_C004</x:v>
      </x:c>
      <x:c r="AS86" t="n">
        <x:v>1</x:v>
      </x:c>
      <x:c r="AT86" s="17" t="n">
        <x:f>AVERAGE(E86:G86)</x:f>
        <x:v>168.4802966666667</x:v>
      </x:c>
      <x:c r="AU86" s="17" t="n">
        <x:f>STDEV.S(E86:G86)</x:f>
        <x:v>52.07699874159256</x:v>
      </x:c>
      <x:c r="AV86" s="17" t="n">
        <x:f>AVERAGE(H86:J86)</x:f>
        <x:v>96.67569533333334</x:v>
      </x:c>
      <x:c r="AW86" s="17" t="n">
        <x:f>STDEV.S(H86:J86)</x:f>
        <x:v>27.29222667909568</x:v>
      </x:c>
      <x:c r="AX86" s="17" t="n">
        <x:f>AV86-AT86</x:f>
        <x:v>-71.80460133333337</x:v>
      </x:c>
      <x:c r="AY86" s="17" t="n">
        <x:f>LOG((AV86+1)/(AT86+1),2)</x:f>
        <x:v>-0.7950460333715825</x:v>
      </x:c>
      <x:c r="AZ86" s="17" t="n">
        <x:f>AVERAGE(E86:J86)</x:f>
        <x:v>132.577996</x:v>
      </x:c>
      <x:c r="BA86" s="17" t="n">
        <x:f>MAX(E86:J86)</x:f>
        <x:v>220.669767</x:v>
      </x:c>
      <x:c r="BB86" s="20" t="n">
        <x:f>IF(Q86="provisional_HQ_domain",2,0)+IF(Y86,1,0)+IF(AB86,1,0)+IF(AI86&lt;&gt;"",1,0)+IF(AP86+AQ86&gt;0,1,0)</x:f>
        <x:v>5</x:v>
      </x:c>
      <x:c r="BC86" t="str">
        <x:f>IF(OR(ISNUMBER(SEARCH("exclude",U86)),ISNUMBER(SEARCH("hold",U86)),ISNUMBER(SEARCH("hold",W86))),"Review",IF(BB86&gt;=5,"Strong multi-evidence",IF(BB86&gt;=3,"Supported","Weak/inspect")))</x:f>
        <x:v>Strong multi-evidence</x:v>
      </x:c>
    </x:row>
    <x:row r="87">
      <x:c r="A87" t="str">
        <x:v>SULT</x:v>
      </x:c>
      <x:c r="B87" t="str">
        <x:v>TRINITY_DN5949_c0_g1</x:v>
      </x:c>
      <x:c r="C87" t="str">
        <x:v>no</x:v>
      </x:c>
      <x:c r="D87" t="n">
        <x:v>5</x:v>
      </x:c>
      <x:c r="E87" s="17" t="n">
        <x:v>6.003498</x:v>
      </x:c>
      <x:c r="F87" s="17" t="n">
        <x:v>10.646097</x:v>
      </x:c>
      <x:c r="G87" s="17" t="n">
        <x:v>4.050796</x:v>
      </x:c>
      <x:c r="H87" s="17" t="n">
        <x:v>8.988485</x:v>
      </x:c>
      <x:c r="I87" s="17" t="n">
        <x:v>5.64395</x:v>
      </x:c>
      <x:c r="J87" s="17" t="n">
        <x:v>1.034779</x:v>
      </x:c>
      <x:c r="K87" s="17" t="n">
        <x:v>6.1871354400000005</x:v>
      </x:c>
      <x:c r="L87" s="17" t="n">
        <x:v>4.9608336</x:v>
      </x:c>
      <x:c r="M87" s="17" t="n">
        <x:v>-1.2263018400000005</x:v>
      </x:c>
      <x:c r="N87" s="18" t="n">
        <x:v>0.605300291010221</x:v>
      </x:c>
      <x:c r="O87" t="str">
        <x:v>TRINITY_DN5949_c0_g1_i3.p1</x:v>
      </x:c>
      <x:c r="P87" t="n">
        <x:v>178</x:v>
      </x:c>
      <x:c r="Q87" t="str">
        <x:v>provisional_HQ_domain</x:v>
      </x:c>
      <x:c r="R87" t="str">
        <x:v>family_defining_domain_detected</x:v>
      </x:c>
      <x:c r="S87" t="str">
        <x:v>IPR000863;PF00685</x:v>
      </x:c>
      <x:c r="T87" t="str">
        <x:v>Sulfotransferase domain</x:v>
      </x:c>
      <x:c r="U87"/>
      <x:c r="V87"/>
      <x:c r="W87"/>
      <x:c r="X87"/>
      <x:c r="Y87" s="15" t="b">
        <x:v>1</x:v>
      </x:c>
      <x:c r="Z87" s="15" t="b">
        <x:v>0</x:v>
      </x:c>
      <x:c r="AA87" s="15" t="b">
        <x:v>1</x:v>
      </x:c>
      <x:c r="AB87" s="15" t="b">
        <x:v>1</x:v>
      </x:c>
      <x:c r="AC87" t="str">
        <x:v>Spodoptera|XP_050559196.1</x:v>
      </x:c>
      <x:c r="AD87" s="19" t="n">
        <x:v>2.52e-68</x:v>
      </x:c>
      <x:c r="AE87" t="n">
        <x:v>201</x:v>
      </x:c>
      <x:c r="AF87" t="n">
        <x:v>53.073</x:v>
      </x:c>
      <x:c r="AG87" t="n">
        <x:v>100.562</x:v>
      </x:c>
      <x:c r="AH87" t="n">
        <x:v>58.8816</x:v>
      </x:c>
      <x:c r="AI87" t="str">
        <x:v>sp|A0A173GP47|LST_PHOPY</x:v>
      </x:c>
      <x:c r="AJ87" t="str">
        <x:v>sp|A0A173GP47|LST_PHOPY Luciferin sulfotransferase OS=Photinus pyralis OX=7054 GN=LST PE=1 SV=1</x:v>
      </x:c>
      <x:c r="AK87" s="19" t="n">
        <x:v>7.48e-18</x:v>
      </x:c>
      <x:c r="AL87" t="n">
        <x:v>82.8</x:v>
      </x:c>
      <x:c r="AM87" t="n">
        <x:v>34</x:v>
      </x:c>
      <x:c r="AN87" t="n">
        <x:v>91.01123595505618</x:v>
      </x:c>
      <x:c r="AO87" t="n">
        <x:v>43.78378378378378</x:v>
      </x:c>
      <x:c r="AP87" t="n">
        <x:v>0</x:v>
      </x:c>
      <x:c r="AQ87" t="n">
        <x:v>0</x:v>
      </x:c>
      <x:c r="AR87" t="str">
        <x:v>SULT_C001</x:v>
      </x:c>
      <x:c r="AS87" t="n">
        <x:v>7</x:v>
      </x:c>
      <x:c r="AT87" s="17" t="n">
        <x:f>AVERAGE(E87:G87)</x:f>
        <x:v>6.900130333333332</x:v>
      </x:c>
      <x:c r="AU87" s="17" t="n">
        <x:f>STDEV.S(E87:G87)</x:f>
        <x:v>3.3878401638852935</x:v>
      </x:c>
      <x:c r="AV87" s="17" t="n">
        <x:f>AVERAGE(H87:J87)</x:f>
        <x:v>5.222404666666667</x:v>
      </x:c>
      <x:c r="AW87" s="17" t="n">
        <x:f>STDEV.S(H87:J87)</x:f>
        <x:v>3.9935742305171114</x:v>
      </x:c>
      <x:c r="AX87" s="17" t="n">
        <x:f>AV87-AT87</x:f>
        <x:v>-1.6777256666666656</x:v>
      </x:c>
      <x:c r="AY87" s="17" t="n">
        <x:f>LOG((AV87+1)/(AT87+1),2)</x:f>
        <x:v>-0.34440423264320036</x:v>
      </x:c>
      <x:c r="AZ87" s="17" t="n">
        <x:f>AVERAGE(E87:J87)</x:f>
        <x:v>6.0612675</x:v>
      </x:c>
      <x:c r="BA87" s="17" t="n">
        <x:f>MAX(E87:J87)</x:f>
        <x:v>10.646097</x:v>
      </x:c>
      <x:c r="BB87" s="20" t="n">
        <x:f>IF(Q87="provisional_HQ_domain",2,0)+IF(Y87,1,0)+IF(AB87,1,0)+IF(AI87&lt;&gt;"",1,0)+IF(AP87+AQ87&gt;0,1,0)</x:f>
        <x:v>5</x:v>
      </x:c>
      <x:c r="BC87" t="str">
        <x:f>IF(OR(ISNUMBER(SEARCH("exclude",U87)),ISNUMBER(SEARCH("hold",U87)),ISNUMBER(SEARCH("hold",W87))),"Review",IF(BB87&gt;=5,"Strong multi-evidence",IF(BB87&gt;=3,"Supported","Weak/inspect")))</x:f>
        <x:v>Strong multi-evidence</x:v>
      </x:c>
    </x:row>
    <x:row r="88">
      <x:c r="A88" t="str">
        <x:v>SULT</x:v>
      </x:c>
      <x:c r="B88" t="str">
        <x:v>TRINITY_DN659_c1_g1</x:v>
      </x:c>
      <x:c r="C88" t="str">
        <x:v>no</x:v>
      </x:c>
      <x:c r="D88" t="n">
        <x:v>6</x:v>
      </x:c>
      <x:c r="E88" s="17" t="n">
        <x:v>133.412877</x:v>
      </x:c>
      <x:c r="F88" s="17" t="n">
        <x:v>239.75860799999998</x:v>
      </x:c>
      <x:c r="G88" s="17" t="n">
        <x:v>222.323406</x:v>
      </x:c>
      <x:c r="H88" s="17" t="n">
        <x:v>148.24445699999998</x:v>
      </x:c>
      <x:c r="I88" s="17" t="n">
        <x:v>121.585513</x:v>
      </x:c>
      <x:c r="J88" s="17" t="n">
        <x:v>98.512</x:v>
      </x:c>
      <x:c r="K88" s="17" t="n">
        <x:v>169.299746</x:v>
      </x:c>
      <x:c r="L88" s="17" t="n">
        <x:v>105.7343216</x:v>
      </x:c>
      <x:c r="M88" s="17" t="n">
        <x:v>-63.5654244</x:v>
      </x:c>
      <x:c r="N88" s="18" t="n">
        <x:v>0.454701681349215</x:v>
      </x:c>
      <x:c r="O88" t="str">
        <x:v>TRINITY_DN659_c1_g1_i4.p1</x:v>
      </x:c>
      <x:c r="P88" t="n">
        <x:v>154</x:v>
      </x:c>
      <x:c r="Q88" t="str">
        <x:v>provisional_HQ_domain</x:v>
      </x:c>
      <x:c r="R88" t="str">
        <x:v>family_defining_domain_detected</x:v>
      </x:c>
      <x:c r="S88" t="str">
        <x:v>IPR000863;PF00685</x:v>
      </x:c>
      <x:c r="T88" t="str">
        <x:v>Sulfotransferase domain</x:v>
      </x:c>
      <x:c r="U88"/>
      <x:c r="V88"/>
      <x:c r="W88"/>
      <x:c r="X88"/>
      <x:c r="Y88" s="15" t="b">
        <x:v>1</x:v>
      </x:c>
      <x:c r="Z88" s="15" t="b">
        <x:v>0</x:v>
      </x:c>
      <x:c r="AA88" s="15" t="b">
        <x:v>1</x:v>
      </x:c>
      <x:c r="AB88" s="15" t="b">
        <x:v>0</x:v>
      </x:c>
      <x:c r="AC88" t="str">
        <x:v>Spodoptera|XP_050559193.1</x:v>
      </x:c>
      <x:c r="AD88" s="19" t="n">
        <x:v>1.44e-47</x:v>
      </x:c>
      <x:c r="AE88" t="n">
        <x:v>148</x:v>
      </x:c>
      <x:c r="AF88" t="n">
        <x:v>69.474</x:v>
      </x:c>
      <x:c r="AG88" t="n">
        <x:v>62.0915</x:v>
      </x:c>
      <x:c r="AH88" t="n">
        <x:v>27.2206</x:v>
      </x:c>
      <x:c r="AI88" t="str">
        <x:v>sp|Q9QWG7|ST1B1_MOUSE</x:v>
      </x:c>
      <x:c r="AJ88" t="str">
        <x:v>sp|Q9QWG7|ST1B1_MOUSE Sulfotransferase 1B1 OS=Mus musculus OX=10090 GN=Sult1b1 PE=1 SV=2</x:v>
      </x:c>
      <x:c r="AK88" s="19" t="n">
        <x:v>6.73e-16</x:v>
      </x:c>
      <x:c r="AL88" t="n">
        <x:v>75.9</x:v>
      </x:c>
      <x:c r="AM88" t="n">
        <x:v>38.9</x:v>
      </x:c>
      <x:c r="AN88" t="n">
        <x:v>58.8235294117647</x:v>
      </x:c>
      <x:c r="AO88" t="n">
        <x:v>30.100334448160535</x:v>
      </x:c>
      <x:c r="AP88" t="n">
        <x:v>0</x:v>
      </x:c>
      <x:c r="AQ88" t="n">
        <x:v>0</x:v>
      </x:c>
      <x:c r="AR88" t="str">
        <x:v>SULT_C005</x:v>
      </x:c>
      <x:c r="AS88" t="n">
        <x:v>1</x:v>
      </x:c>
      <x:c r="AT88" s="17" t="n">
        <x:f>AVERAGE(E88:G88)</x:f>
        <x:v>198.49829699999998</x:v>
      </x:c>
      <x:c r="AU88" s="17" t="n">
        <x:f>STDEV.S(E88:G88)</x:f>
        <x:v>57.03578253717134</x:v>
      </x:c>
      <x:c r="AV88" s="17" t="n">
        <x:f>AVERAGE(H88:J88)</x:f>
        <x:v>122.78065666666667</x:v>
      </x:c>
      <x:c r="AW88" s="17" t="n">
        <x:f>STDEV.S(H88:J88)</x:f>
        <x:v>24.887759965537114</x:v>
      </x:c>
      <x:c r="AX88" s="17" t="n">
        <x:f>AV88-AT88</x:f>
        <x:v>-75.7176403333333</x:v>
      </x:c>
      <x:c r="AY88" s="17" t="n">
        <x:f>LOG((AV88+1)/(AT88+1),2)</x:f>
        <x:v>-0.6885905503629053</x:v>
      </x:c>
      <x:c r="AZ88" s="17" t="n">
        <x:f>AVERAGE(E88:J88)</x:f>
        <x:v>160.63947683333333</x:v>
      </x:c>
      <x:c r="BA88" s="17" t="n">
        <x:f>MAX(E88:J88)</x:f>
        <x:v>239.75860799999998</x:v>
      </x:c>
      <x:c r="BB88" s="20" t="n">
        <x:f>IF(Q88="provisional_HQ_domain",2,0)+IF(Y88,1,0)+IF(AB88,1,0)+IF(AI88&lt;&gt;"",1,0)+IF(AP88+AQ88&gt;0,1,0)</x:f>
        <x:v>4</x:v>
      </x:c>
      <x:c r="BC88" t="str">
        <x:f>IF(OR(ISNUMBER(SEARCH("exclude",U88)),ISNUMBER(SEARCH("hold",U88)),ISNUMBER(SEARCH("hold",W88))),"Review",IF(BB88&gt;=5,"Strong multi-evidence",IF(BB88&gt;=3,"Supported","Weak/inspect")))</x:f>
        <x:v>Supported</x:v>
      </x:c>
    </x:row>
    <x:row r="89">
      <x:c r="A89" t="str">
        <x:v>ABC</x:v>
      </x:c>
      <x:c r="B89" t="str">
        <x:v>TRINITY_DN10989_c0_g1</x:v>
      </x:c>
      <x:c r="C89" t="str">
        <x:v>no</x:v>
      </x:c>
      <x:c r="D89" t="n">
        <x:v>5</x:v>
      </x:c>
      <x:c r="E89" s="17" t="n">
        <x:v>0.644574</x:v>
      </x:c>
      <x:c r="F89" s="17" t="n">
        <x:v>0</x:v>
      </x:c>
      <x:c r="G89" s="17" t="n">
        <x:v>0.663687</x:v>
      </x:c>
      <x:c r="H89" s="17" t="n">
        <x:v>0.65984</x:v>
      </x:c>
      <x:c r="I89" s="17" t="n">
        <x:v>0</x:v>
      </x:c>
      <x:c r="J89" s="17" t="n">
        <x:v>1.230028</x:v>
      </x:c>
      <x:c r="K89" s="17" t="n">
        <x:v>0.43294326000000005</x:v>
      </x:c>
      <x:c r="L89" s="17" t="n">
        <x:v>0.6464918799999999</x:v>
      </x:c>
      <x:c r="M89" s="17" t="n">
        <x:v>0.21354861999999986</x:v>
      </x:c>
      <x:c r="N89" s="18" t="n">
        <x:v>0.999999010765626</x:v>
      </x:c>
      <x:c r="O89" t="str">
        <x:v>TRINITY_DN10989_c0_g1_i5.p1</x:v>
      </x:c>
      <x:c r="P89" t="n">
        <x:v>198</x:v>
      </x:c>
      <x:c r="Q89" t="str">
        <x:v>review</x:v>
      </x:c>
      <x:c r="R89" t="str">
        <x:v>NBD_only_or_TMD_not_detected</x:v>
      </x:c>
      <x:c r="S89" t="str">
        <x:v>IPR003439;PF00005</x:v>
      </x:c>
      <x:c r="T89" t="str">
        <x:v>ABC transporter;ABC transporter-like, ATP-binding domain</x:v>
      </x:c>
      <x:c r="U89" t="str">
        <x:v>hold_ABC_fragment_review</x:v>
      </x:c>
      <x:c r="V89" t="str">
        <x:v>partial ABC architecture; requires isoform/homology inspection</x:v>
      </x:c>
      <x:c r="W89" t="str">
        <x:v>hold_for_targeted_homology_or_assembly_review</x:v>
      </x:c>
      <x:c r="X89" t="str">
        <x:v>current isoforms do not unite sufficient sequence and architecture evidence</x:v>
      </x:c>
      <x:c r="Y89" s="15" t="b">
        <x:v>1</x:v>
      </x:c>
      <x:c r="Z89" s="15" t="b">
        <x:v>0</x:v>
      </x:c>
      <x:c r="AA89" s="15" t="b">
        <x:v>1</x:v>
      </x:c>
      <x:c r="AB89" s="15" t="b">
        <x:v>0</x:v>
      </x:c>
      <x:c r="AC89" t="str">
        <x:v>Spodoptera|XP_050557326.1</x:v>
      </x:c>
      <x:c r="AD89" s="19" t="n">
        <x:v>1.53e-104</x:v>
      </x:c>
      <x:c r="AE89" t="n">
        <x:v>317</x:v>
      </x:c>
      <x:c r="AF89" t="n">
        <x:v>77.436</x:v>
      </x:c>
      <x:c r="AG89" t="n">
        <x:v>98.4848</x:v>
      </x:c>
      <x:c r="AH89" t="n">
        <x:v>18.5714</x:v>
      </x:c>
      <x:c r="AI89" t="str">
        <x:v>sp|P06795|MDR1B_MOUSE</x:v>
      </x:c>
      <x:c r="AJ89" t="str">
        <x:v>sp|P06795|MDR1B_MOUSE ATP-dependent translocase ABCB1 OS=Mus musculus OX=10090 GN=Abcb1b PE=1 SV=1</x:v>
      </x:c>
      <x:c r="AK89" s="19" t="n">
        <x:v>8.58e-49</x:v>
      </x:c>
      <x:c r="AL89" t="n">
        <x:v>173</x:v>
      </x:c>
      <x:c r="AM89" t="n">
        <x:v>50.3</x:v>
      </x:c>
      <x:c r="AN89" t="n">
        <x:v>88.38383838383838</x:v>
      </x:c>
      <x:c r="AO89" t="n">
        <x:v>13.714733542319749</x:v>
      </x:c>
      <x:c r="AP89" t="n">
        <x:v>1</x:v>
      </x:c>
      <x:c r="AQ89" t="n">
        <x:v>6</x:v>
      </x:c>
      <x:c r="AR89" t="str">
        <x:v>ABC_C008</x:v>
      </x:c>
      <x:c r="AS89" t="n">
        <x:v>1</x:v>
      </x:c>
      <x:c r="AT89" s="17" t="n">
        <x:f>AVERAGE(E89:G89)</x:f>
        <x:v>0.43608699999999995</x:v>
      </x:c>
      <x:c r="AU89" s="17" t="n">
        <x:f>STDEV.S(E89:G89)</x:f>
        <x:v>0.3777833113955671</x:v>
      </x:c>
      <x:c r="AV89" s="17" t="n">
        <x:f>AVERAGE(H89:J89)</x:f>
        <x:v>0.629956</x:v>
      </x:c>
      <x:c r="AW89" s="17" t="n">
        <x:f>STDEV.S(H89:J89)</x:f>
        <x:v>0.6155582915435385</x:v>
      </x:c>
      <x:c r="AX89" s="17" t="n">
        <x:f>AV89-AT89</x:f>
        <x:v>0.193869</x:v>
      </x:c>
      <x:c r="AY89" s="17" t="n">
        <x:f>LOG((AV89+1)/(AT89+1),2)</x:f>
        <x:v>0.18268986788339514</x:v>
      </x:c>
      <x:c r="AZ89" s="17" t="n">
        <x:f>AVERAGE(E89:J89)</x:f>
        <x:v>0.5330214999999999</x:v>
      </x:c>
      <x:c r="BA89" s="17" t="n">
        <x:f>MAX(E89:J89)</x:f>
        <x:v>1.230028</x:v>
      </x:c>
      <x:c r="BB89" s="20" t="n">
        <x:f>IF(Q89="provisional_HQ_domain",2,0)+IF(Y89,1,0)+IF(AB89,1,0)+IF(AI89&lt;&gt;"",1,0)+IF(AP89+AQ89&gt;0,1,0)</x:f>
        <x:v>3</x:v>
      </x:c>
      <x:c r="BC89" t="str">
        <x:f>IF(OR(ISNUMBER(SEARCH("exclude",U89)),ISNUMBER(SEARCH("hold",U89)),ISNUMBER(SEARCH("hold",W89))),"Review",IF(BB89&gt;=5,"Strong multi-evidence",IF(BB89&gt;=3,"Supported","Weak/inspect")))</x:f>
        <x:v>Review</x:v>
      </x:c>
    </x:row>
    <x:row r="90">
      <x:c r="A90" t="str">
        <x:v>ABC</x:v>
      </x:c>
      <x:c r="B90" t="str">
        <x:v>TRINITY_DN1124_c0_g1</x:v>
      </x:c>
      <x:c r="C90" t="str">
        <x:v>yes</x:v>
      </x:c>
      <x:c r="D90" t="n">
        <x:v>7</x:v>
      </x:c>
      <x:c r="E90" s="17" t="n">
        <x:v>10.27421</x:v>
      </x:c>
      <x:c r="F90" s="17" t="n">
        <x:v>17.173547</x:v>
      </x:c>
      <x:c r="G90" s="17" t="n">
        <x:v>12.463777</x:v>
      </x:c>
      <x:c r="H90" s="17" t="n">
        <x:v>45.999145</x:v>
      </x:c>
      <x:c r="I90" s="17" t="n">
        <x:v>43.846283</x:v>
      </x:c>
      <x:c r="J90" s="17" t="n">
        <x:v>24.974984</x:v>
      </x:c>
      <x:c r="K90" s="17" t="n">
        <x:v>12.184351834000001</x:v>
      </x:c>
      <x:c r="L90" s="17" t="n">
        <x:v>36.54953326</x:v>
      </x:c>
      <x:c r="M90" s="17" t="n">
        <x:v>24.365181425999996</x:v>
      </x:c>
      <x:c r="N90" s="18" t="n">
        <x:v>0.0621562588385607</x:v>
      </x:c>
      <x:c r="O90" t="str">
        <x:v>TRINITY_DN1124_c0_g1_i10.p1</x:v>
      </x:c>
      <x:c r="P90" t="n">
        <x:v>1273</x:v>
      </x:c>
      <x:c r="Q90" t="str">
        <x:v>provisional_HQ_domain</x:v>
      </x:c>
      <x:c r="R90" t="str">
        <x:v>NBD_and_TMD_evidence</x:v>
      </x:c>
      <x:c r="S90" t="str">
        <x:v>IPR003439;IPR011527;PF00005;PF00664</x:v>
      </x:c>
      <x:c r="T90" t="str">
        <x:v>ABC transporter;ABC transporter transmembrane region;ABC transporter type 1, transmembrane domain;ABC transporter-like, ATP-binding domain</x:v>
      </x:c>
      <x:c r="U90"/>
      <x:c r="V90"/>
      <x:c r="W90"/>
      <x:c r="X90"/>
      <x:c r="Y90" s="15" t="b">
        <x:v>1</x:v>
      </x:c>
      <x:c r="Z90" s="15" t="b">
        <x:v>0</x:v>
      </x:c>
      <x:c r="AA90" s="15" t="b">
        <x:v>1</x:v>
      </x:c>
      <x:c r="AB90" s="15" t="b">
        <x:v>1</x:v>
      </x:c>
      <x:c r="AC90" t="str">
        <x:v>Spodoptera|XP_050553324.1</x:v>
      </x:c>
      <x:c r="AD90" s="19" t="n">
        <x:v>0</x:v>
      </x:c>
      <x:c r="AE90" t="n">
        <x:v>2158</x:v>
      </x:c>
      <x:c r="AF90" t="n">
        <x:v>82.704</x:v>
      </x:c>
      <x:c r="AG90" t="n">
        <x:v>100</x:v>
      </x:c>
      <x:c r="AH90" t="n">
        <x:v>97.7709</x:v>
      </x:c>
      <x:c r="AI90" t="str">
        <x:v>sp|P21447|MDR1A_MOUSE</x:v>
      </x:c>
      <x:c r="AJ90" t="str">
        <x:v>sp|P21447|MDR1A_MOUSE ATP-dependent translocase ABCB1 OS=Mus musculus OX=10090 GN=Abcb1a PE=1 SV=3</x:v>
      </x:c>
      <x:c r="AK90" s="19" t="n">
        <x:v>0</x:v>
      </x:c>
      <x:c r="AL90" t="n">
        <x:v>1013</x:v>
      </x:c>
      <x:c r="AM90" t="n">
        <x:v>44.9</x:v>
      </x:c>
      <x:c r="AN90" t="n">
        <x:v>97.32704402515724</x:v>
      </x:c>
      <x:c r="AO90" t="n">
        <x:v>97.02194357366771</x:v>
      </x:c>
      <x:c r="AP90" t="n">
        <x:v>0</x:v>
      </x:c>
      <x:c r="AQ90" t="n">
        <x:v>0</x:v>
      </x:c>
      <x:c r="AR90" t="str">
        <x:v>ABC_C001</x:v>
      </x:c>
      <x:c r="AS90" t="n">
        <x:v>11</x:v>
      </x:c>
      <x:c r="AT90" s="17" t="n">
        <x:f>AVERAGE(E90:G90)</x:f>
        <x:v>13.303844666666668</x:v>
      </x:c>
      <x:c r="AU90" s="17" t="n">
        <x:f>STDEV.S(E90:G90)</x:f>
        <x:v>3.525549322208715</x:v>
      </x:c>
      <x:c r="AV90" s="17" t="n">
        <x:f>AVERAGE(H90:J90)</x:f>
        <x:v>38.27347066666667</x:v>
      </x:c>
      <x:c r="AW90" s="17" t="n">
        <x:f>STDEV.S(H90:J90)</x:f>
        <x:v>11.567022711804206</x:v>
      </x:c>
      <x:c r="AX90" s="17" t="n">
        <x:f>AV90-AT90</x:f>
        <x:v>24.969625999999998</x:v>
      </x:c>
      <x:c r="AY90" s="17" t="n">
        <x:f>LOG((AV90+1)/(AT90+1),2)</x:f>
        <x:v>1.457152122474296</x:v>
      </x:c>
      <x:c r="AZ90" s="17" t="n">
        <x:f>AVERAGE(E90:J90)</x:f>
        <x:v>25.788657666666666</x:v>
      </x:c>
      <x:c r="BA90" s="17" t="n">
        <x:f>MAX(E90:J90)</x:f>
        <x:v>45.999145</x:v>
      </x:c>
      <x:c r="BB90" s="20" t="n">
        <x:f>IF(Q90="provisional_HQ_domain",2,0)+IF(Y90,1,0)+IF(AB90,1,0)+IF(AI90&lt;&gt;"",1,0)+IF(AP90+AQ90&gt;0,1,0)</x:f>
        <x:v>5</x:v>
      </x:c>
      <x:c r="BC90" t="str">
        <x:f>IF(OR(ISNUMBER(SEARCH("exclude",U90)),ISNUMBER(SEARCH("hold",U90)),ISNUMBER(SEARCH("hold",W90))),"Review",IF(BB90&gt;=5,"Strong multi-evidence",IF(BB90&gt;=3,"Supported","Weak/inspect")))</x:f>
        <x:v>Strong multi-evidence</x:v>
      </x:c>
    </x:row>
    <x:row r="91">
      <x:c r="A91" t="str">
        <x:v>ABC</x:v>
      </x:c>
      <x:c r="B91" t="str">
        <x:v>TRINITY_DN1142_c1_g1</x:v>
      </x:c>
      <x:c r="C91" t="str">
        <x:v>yes</x:v>
      </x:c>
      <x:c r="D91" t="n">
        <x:v>5</x:v>
      </x:c>
      <x:c r="E91" s="17" t="n">
        <x:v>5.5363739999999995</x:v>
      </x:c>
      <x:c r="F91" s="17" t="n">
        <x:v>10.665141</x:v>
      </x:c>
      <x:c r="G91" s="17" t="n">
        <x:v>17.620508</x:v>
      </x:c>
      <x:c r="H91" s="17" t="n">
        <x:v>7.495091</x:v>
      </x:c>
      <x:c r="I91" s="17" t="n">
        <x:v>10.0774</x:v>
      </x:c>
      <x:c r="J91" s="17" t="n">
        <x:v>21.822042</x:v>
      </x:c>
      <x:c r="K91" s="17" t="n">
        <x:v>10.5311808</x:v>
      </x:c>
      <x:c r="L91" s="17" t="n">
        <x:v>12.7700012</x:v>
      </x:c>
      <x:c r="M91" s="17" t="n">
        <x:v>2.2388204</x:v>
      </x:c>
      <x:c r="N91" s="18" t="n">
        <x:v>0.999999010765626</x:v>
      </x:c>
      <x:c r="O91" t="str">
        <x:v>TRINITY_DN1142_c1_g1_i12.p1</x:v>
      </x:c>
      <x:c r="P91" t="n">
        <x:v>764</x:v>
      </x:c>
      <x:c r="Q91" t="str">
        <x:v>provisional_HQ_domain</x:v>
      </x:c>
      <x:c r="R91" t="str">
        <x:v>NBD_and_TMD_evidence</x:v>
      </x:c>
      <x:c r="S91" t="str">
        <x:v>IPR003439;IPR011527;PF00005;PF06472</x:v>
      </x:c>
      <x:c r="T91" t="str">
        <x:v>ABC transporter;ABC transporter transmembrane region 2;ABC transporter type 1, transmembrane domain;ABC transporter-like, ATP-binding domain</x:v>
      </x:c>
      <x:c r="U91"/>
      <x:c r="V91"/>
      <x:c r="W91"/>
      <x:c r="X91"/>
      <x:c r="Y91" s="15" t="b">
        <x:v>1</x:v>
      </x:c>
      <x:c r="Z91" s="15" t="b">
        <x:v>0</x:v>
      </x:c>
      <x:c r="AA91" s="15" t="b">
        <x:v>1</x:v>
      </x:c>
      <x:c r="AB91" s="15" t="b">
        <x:v>1</x:v>
      </x:c>
      <x:c r="AC91" t="str">
        <x:v>Spodoptera|XP_050555165.1</x:v>
      </x:c>
      <x:c r="AD91" s="19" t="n">
        <x:v>0</x:v>
      </x:c>
      <x:c r="AE91" t="n">
        <x:v>1454</x:v>
      </x:c>
      <x:c r="AF91" t="n">
        <x:v>93.02</x:v>
      </x:c>
      <x:c r="AG91" t="n">
        <x:v>97.6409</x:v>
      </x:c>
      <x:c r="AH91" t="n">
        <x:v>97.3856</x:v>
      </x:c>
      <x:c r="AI91" t="str">
        <x:v>sp|Q7JUN3|ABCD1_DROME</x:v>
      </x:c>
      <x:c r="AJ91" t="str">
        <x:v>sp|Q7JUN3|ABCD1_DROME ATP-binding cassette sub-family D member 1 OS=Drosophila melanogaster OX=7227 GN=Abcd1 PE=2 SV=1</x:v>
      </x:c>
      <x:c r="AK91" s="19" t="n">
        <x:v>1.67e-260</x:v>
      </x:c>
      <x:c r="AL91" t="n">
        <x:v>741</x:v>
      </x:c>
      <x:c r="AM91" t="n">
        <x:v>59.9</x:v>
      </x:c>
      <x:c r="AN91" t="n">
        <x:v>83.6173001310616</x:v>
      </x:c>
      <x:c r="AO91" t="n">
        <x:v>87.3972602739726</x:v>
      </x:c>
      <x:c r="AP91" t="n">
        <x:v>0</x:v>
      </x:c>
      <x:c r="AQ91" t="n">
        <x:v>0</x:v>
      </x:c>
      <x:c r="AR91" t="str">
        <x:v>ABC_C006</x:v>
      </x:c>
      <x:c r="AS91" t="n">
        <x:v>2</x:v>
      </x:c>
      <x:c r="AT91" s="17" t="n">
        <x:f>AVERAGE(E91:G91)</x:f>
        <x:v>11.274007666666668</x:v>
      </x:c>
      <x:c r="AU91" s="17" t="n">
        <x:f>STDEV.S(E91:G91)</x:f>
        <x:v>6.06503195340489</x:v>
      </x:c>
      <x:c r="AV91" s="17" t="n">
        <x:f>AVERAGE(H91:J91)</x:f>
        <x:v>13.131510999999998</x:v>
      </x:c>
      <x:c r="AW91" s="17" t="n">
        <x:f>STDEV.S(H91:J91)</x:f>
        <x:v>7.636168983157784</x:v>
      </x:c>
      <x:c r="AX91" s="17" t="n">
        <x:f>AV91-AT91</x:f>
        <x:v>1.8575033333333302</x:v>
      </x:c>
      <x:c r="AY91" s="17" t="n">
        <x:f>LOG((AV91+1)/(AT91+1),2)</x:f>
        <x:v>0.2033093431471748</x:v>
      </x:c>
      <x:c r="AZ91" s="17" t="n">
        <x:f>AVERAGE(E91:J91)</x:f>
        <x:v>12.202759333333333</x:v>
      </x:c>
      <x:c r="BA91" s="17" t="n">
        <x:f>MAX(E91:J91)</x:f>
        <x:v>21.822042</x:v>
      </x:c>
      <x:c r="BB91" s="20" t="n">
        <x:f>IF(Q91="provisional_HQ_domain",2,0)+IF(Y91,1,0)+IF(AB91,1,0)+IF(AI91&lt;&gt;"",1,0)+IF(AP91+AQ91&gt;0,1,0)</x:f>
        <x:v>5</x:v>
      </x:c>
      <x:c r="BC91" t="str">
        <x:f>IF(OR(ISNUMBER(SEARCH("exclude",U91)),ISNUMBER(SEARCH("hold",U91)),ISNUMBER(SEARCH("hold",W91))),"Review",IF(BB91&gt;=5,"Strong multi-evidence",IF(BB91&gt;=3,"Supported","Weak/inspect")))</x:f>
        <x:v>Strong multi-evidence</x:v>
      </x:c>
    </x:row>
    <x:row r="92">
      <x:c r="A92" t="str">
        <x:v>ABC</x:v>
      </x:c>
      <x:c r="B92" t="str">
        <x:v>TRINITY_DN11606_c0_g1</x:v>
      </x:c>
      <x:c r="C92" t="str">
        <x:v>yes</x:v>
      </x:c>
      <x:c r="D92" t="n">
        <x:v>7</x:v>
      </x:c>
      <x:c r="E92" s="17" t="n">
        <x:v>0.139163</x:v>
      </x:c>
      <x:c r="F92" s="17" t="n">
        <x:v>0.366317</x:v>
      </x:c>
      <x:c r="G92" s="17" t="n">
        <x:v>0.5196649999999999</x:v>
      </x:c>
      <x:c r="H92" s="17" t="n">
        <x:v>1.217252</x:v>
      </x:c>
      <x:c r="I92" s="17" t="n">
        <x:v>0.6884859999999999</x:v>
      </x:c>
      <x:c r="J92" s="17" t="n">
        <x:v>0.299051</x:v>
      </x:c>
      <x:c r="K92" s="17" t="n">
        <x:v>0.32313590799999997</x:v>
      </x:c>
      <x:c r="L92" s="17" t="n">
        <x:v>0.69879414</x:v>
      </x:c>
      <x:c r="M92" s="17" t="n">
        <x:v>0.375658232</x:v>
      </x:c>
      <x:c r="N92" s="18" t="n">
        <x:v>0.301690466520124</x:v>
      </x:c>
      <x:c r="O92" t="str">
        <x:v>TRINITY_DN11606_c0_g1_i6.p1</x:v>
      </x:c>
      <x:c r="P92" t="n">
        <x:v>1641</x:v>
      </x:c>
      <x:c r="Q92" t="str">
        <x:v>review</x:v>
      </x:c>
      <x:c r="R92" t="str">
        <x:v>NBD_only_or_TMD_not_detected</x:v>
      </x:c>
      <x:c r="S92" t="str">
        <x:v>IPR003439;PF00005;PF12698</x:v>
      </x:c>
      <x:c r="T92" t="str">
        <x:v>ABC transporter;ABC transporter-like, ATP-binding domain;ABC-2 family transporter protein</x:v>
      </x:c>
      <x:c r="U92" t="str">
        <x:v>retain_ABC_fragment_or_partial</x:v>
      </x:c>
      <x:c r="V92" t="str">
        <x:v>historical homology plus partial ABC architecture; inspect isoforms before nomenclature</x:v>
      </x:c>
      <x:c r="W92" t="str">
        <x:v>retain_historical_partial_ABC</x:v>
      </x:c>
      <x:c r="X92" t="str">
        <x:v>historical support plus partial sequence-level ABC evidence</x:v>
      </x:c>
      <x:c r="Y92" s="15" t="b">
        <x:v>1</x:v>
      </x:c>
      <x:c r="Z92" s="15" t="b">
        <x:v>0</x:v>
      </x:c>
      <x:c r="AA92" s="15" t="b">
        <x:v>1</x:v>
      </x:c>
      <x:c r="AB92" s="15" t="b">
        <x:v>1</x:v>
      </x:c>
      <x:c r="AC92" t="str">
        <x:v>Spodoptera|XP_050551035.1</x:v>
      </x:c>
      <x:c r="AD92" s="19" t="n">
        <x:v>0</x:v>
      </x:c>
      <x:c r="AE92" t="n">
        <x:v>1912</x:v>
      </x:c>
      <x:c r="AF92" t="n">
        <x:v>60.977</x:v>
      </x:c>
      <x:c r="AG92" t="n">
        <x:v>96.0976</x:v>
      </x:c>
      <x:c r="AH92" t="n">
        <x:v>87.1681</x:v>
      </x:c>
      <x:c r="AI92" t="str">
        <x:v>sp|A0A0G2K1Q8|ABCA3_RAT</x:v>
      </x:c>
      <x:c r="AJ92" t="str">
        <x:v>sp|A0A0G2K1Q8|ABCA3_RAT Phospholipid-transporting ATPase ABCA3 OS=Rattus norvegicus OX=10116 GN=Abca3 PE=1 SV=1</x:v>
      </x:c>
      <x:c r="AK92" s="19" t="n">
        <x:v>1.55e-165</x:v>
      </x:c>
      <x:c r="AL92" t="n">
        <x:v>549</x:v>
      </x:c>
      <x:c r="AM92" t="n">
        <x:v>27.7</x:v>
      </x:c>
      <x:c r="AN92" t="n">
        <x:v>106.82926829268293</x:v>
      </x:c>
      <x:c r="AO92" t="n">
        <x:v>102.8169014084507</x:v>
      </x:c>
      <x:c r="AP92" t="n">
        <x:v>0</x:v>
      </x:c>
      <x:c r="AQ92" t="n">
        <x:v>0</x:v>
      </x:c>
      <x:c r="AR92" t="str">
        <x:v>ABC_C004</x:v>
      </x:c>
      <x:c r="AS92" t="n">
        <x:v>3</x:v>
      </x:c>
      <x:c r="AT92" s="17" t="n">
        <x:f>AVERAGE(E92:G92)</x:f>
        <x:v>0.341715</x:v>
      </x:c>
      <x:c r="AU92" s="17" t="n">
        <x:f>STDEV.S(E92:G92)</x:f>
        <x:v>0.1914402956642096</x:v>
      </x:c>
      <x:c r="AV92" s="17" t="n">
        <x:f>AVERAGE(H92:J92)</x:f>
        <x:v>0.7349296666666666</x:v>
      </x:c>
      <x:c r="AW92" s="17" t="n">
        <x:f>STDEV.S(H92:J92)</x:f>
        <x:v>0.46085901285570335</x:v>
      </x:c>
      <x:c r="AX92" s="17" t="n">
        <x:f>AV92-AT92</x:f>
        <x:v>0.3932146666666666</x:v>
      </x:c>
      <x:c r="AY92" s="17" t="n">
        <x:f>LOG((AV92+1)/(AT92+1),2)</x:f>
        <x:v>0.370798923292118</x:v>
      </x:c>
      <x:c r="AZ92" s="17" t="n">
        <x:f>AVERAGE(E92:J92)</x:f>
        <x:v>0.5383223333333332</x:v>
      </x:c>
      <x:c r="BA92" s="17" t="n">
        <x:f>MAX(E92:J92)</x:f>
        <x:v>1.217252</x:v>
      </x:c>
      <x:c r="BB92" s="20" t="n">
        <x:f>IF(Q92="provisional_HQ_domain",2,0)+IF(Y92,1,0)+IF(AB92,1,0)+IF(AI92&lt;&gt;"",1,0)+IF(AP92+AQ92&gt;0,1,0)</x:f>
        <x:v>3</x:v>
      </x:c>
      <x:c r="BC92" t="str">
        <x:f>IF(OR(ISNUMBER(SEARCH("exclude",U92)),ISNUMBER(SEARCH("hold",U92)),ISNUMBER(SEARCH("hold",W92))),"Review",IF(BB92&gt;=5,"Strong multi-evidence",IF(BB92&gt;=3,"Supported","Weak/inspect")))</x:f>
        <x:v>Supported</x:v>
      </x:c>
    </x:row>
    <x:row r="93">
      <x:c r="A93" t="str">
        <x:v>ABC</x:v>
      </x:c>
      <x:c r="B93" t="str">
        <x:v>TRINITY_DN11773_c0_g1</x:v>
      </x:c>
      <x:c r="C93" t="str">
        <x:v>yes</x:v>
      </x:c>
      <x:c r="D93" t="n">
        <x:v>7</x:v>
      </x:c>
      <x:c r="E93" s="17" t="n">
        <x:v>13.401411</x:v>
      </x:c>
      <x:c r="F93" s="17" t="n">
        <x:v>18.582588</x:v>
      </x:c>
      <x:c r="G93" s="17" t="n">
        <x:v>7.045577</x:v>
      </x:c>
      <x:c r="H93" s="17" t="n">
        <x:v>16.400432000000002</x:v>
      </x:c>
      <x:c r="I93" s="17" t="n">
        <x:v>14.730338</x:v>
      </x:c>
      <x:c r="J93" s="17" t="n">
        <x:v>19.068907</x:v>
      </x:c>
      <x:c r="K93" s="17" t="n">
        <x:v>11.37673624</x:v>
      </x:c>
      <x:c r="L93" s="17" t="n">
        <x:v>13.95210452</x:v>
      </x:c>
      <x:c r="M93" s="17" t="n">
        <x:v>2.575368280000001</x:v>
      </x:c>
      <x:c r="N93" s="18" t="n">
        <x:v>0.336383226120518</x:v>
      </x:c>
      <x:c r="O93" t="str">
        <x:v>TRINITY_DN11773_c0_g1_i7.p1</x:v>
      </x:c>
      <x:c r="P93" t="n">
        <x:v>768</x:v>
      </x:c>
      <x:c r="Q93" t="str">
        <x:v>provisional_HQ_domain</x:v>
      </x:c>
      <x:c r="R93" t="str">
        <x:v>NBD_and_TMD_evidence</x:v>
      </x:c>
      <x:c r="S93" t="str">
        <x:v>IPR003439;IPR011527;PF00005;PF00664</x:v>
      </x:c>
      <x:c r="T93" t="str">
        <x:v>ABC transporter;ABC transporter transmembrane region;ABC transporter type 1, transmembrane domain;ABC transporter-like, ATP-binding domain</x:v>
      </x:c>
      <x:c r="U93"/>
      <x:c r="V93"/>
      <x:c r="W93"/>
      <x:c r="X93"/>
      <x:c r="Y93" s="15" t="b">
        <x:v>1</x:v>
      </x:c>
      <x:c r="Z93" s="15" t="b">
        <x:v>0</x:v>
      </x:c>
      <x:c r="AA93" s="15" t="b">
        <x:v>1</x:v>
      </x:c>
      <x:c r="AB93" s="15" t="b">
        <x:v>1</x:v>
      </x:c>
      <x:c r="AC93" t="str">
        <x:v>Spodoptera|XP_035459161.2</x:v>
      </x:c>
      <x:c r="AD93" s="19" t="n">
        <x:v>0</x:v>
      </x:c>
      <x:c r="AE93" t="n">
        <x:v>1244</x:v>
      </x:c>
      <x:c r="AF93" t="n">
        <x:v>88.252</x:v>
      </x:c>
      <x:c r="AG93" t="n">
        <x:v>93.2203</x:v>
      </x:c>
      <x:c r="AH93" t="n">
        <x:v>96.2315</x:v>
      </x:c>
      <x:c r="AI93" t="str">
        <x:v>sp|H2LNR5|ABCB7_ORYLA</x:v>
      </x:c>
      <x:c r="AJ93" t="str">
        <x:v>sp|H2LNR5|ABCB7_ORYLA Iron-sulfur clusters transporter ABCB7, mitochondrial OS=Oryzias latipes OX=8090 GN=abcb7 PE=1 SV=2</x:v>
      </x:c>
      <x:c r="AK93" s="19" t="n">
        <x:v>3.98e-251</x:v>
      </x:c>
      <x:c r="AL93" t="n">
        <x:v>718</x:v>
      </x:c>
      <x:c r="AM93" t="n">
        <x:v>59.2</x:v>
      </x:c>
      <x:c r="AN93" t="n">
        <x:v>81.7470664928292</x:v>
      </x:c>
      <x:c r="AO93" t="n">
        <x:v>84.04825737265415</x:v>
      </x:c>
      <x:c r="AP93" t="n">
        <x:v>0</x:v>
      </x:c>
      <x:c r="AQ93" t="n">
        <x:v>0</x:v>
      </x:c>
      <x:c r="AR93" t="str">
        <x:v>ABC_C003</x:v>
      </x:c>
      <x:c r="AS93" t="n">
        <x:v>6</x:v>
      </x:c>
      <x:c r="AT93" s="17" t="n">
        <x:f>AVERAGE(E93:G93)</x:f>
        <x:v>13.009858666666666</x:v>
      </x:c>
      <x:c r="AU93" s="17" t="n">
        <x:f>STDEV.S(E93:G93)</x:f>
        <x:v>5.7784635177384605</x:v>
      </x:c>
      <x:c r="AV93" s="17" t="n">
        <x:f>AVERAGE(H93:J93)</x:f>
        <x:v>16.733225666666666</x:v>
      </x:c>
      <x:c r="AW93" s="17" t="n">
        <x:f>STDEV.S(H93:J93)</x:f>
        <x:v>2.188346170140897</x:v>
      </x:c>
      <x:c r="AX93" s="17" t="n">
        <x:f>AV93-AT93</x:f>
        <x:v>3.7233669999999996</x:v>
      </x:c>
      <x:c r="AY93" s="17" t="n">
        <x:f>LOG((AV93+1)/(AT93+1),2)</x:f>
        <x:v>0.3400125840177619</x:v>
      </x:c>
      <x:c r="AZ93" s="17" t="n">
        <x:f>AVERAGE(E93:J93)</x:f>
        <x:v>14.871542166666666</x:v>
      </x:c>
      <x:c r="BA93" s="17" t="n">
        <x:f>MAX(E93:J93)</x:f>
        <x:v>19.068907</x:v>
      </x:c>
      <x:c r="BB93" s="20" t="n">
        <x:f>IF(Q93="provisional_HQ_domain",2,0)+IF(Y93,1,0)+IF(AB93,1,0)+IF(AI93&lt;&gt;"",1,0)+IF(AP93+AQ93&gt;0,1,0)</x:f>
        <x:v>5</x:v>
      </x:c>
      <x:c r="BC93" t="str">
        <x:f>IF(OR(ISNUMBER(SEARCH("exclude",U93)),ISNUMBER(SEARCH("hold",U93)),ISNUMBER(SEARCH("hold",W93))),"Review",IF(BB93&gt;=5,"Strong multi-evidence",IF(BB93&gt;=3,"Supported","Weak/inspect")))</x:f>
        <x:v>Strong multi-evidence</x:v>
      </x:c>
    </x:row>
    <x:row r="94">
      <x:c r="A94" t="str">
        <x:v>ABC</x:v>
      </x:c>
      <x:c r="B94" t="str">
        <x:v>TRINITY_DN12134_c0_g1</x:v>
      </x:c>
      <x:c r="C94" t="str">
        <x:v>yes</x:v>
      </x:c>
      <x:c r="D94" t="n">
        <x:v>4</x:v>
      </x:c>
      <x:c r="E94" s="17" t="n">
        <x:v>0.2968</x:v>
      </x:c>
      <x:c r="F94" s="17" t="n">
        <x:v>0.344891</x:v>
      </x:c>
      <x:c r="G94" s="17" t="n">
        <x:v>0.34374</x:v>
      </x:c>
      <x:c r="H94" s="17" t="n">
        <x:v>0.640061</x:v>
      </x:c>
      <x:c r="I94" s="17" t="n">
        <x:v>1.23186</x:v>
      </x:c>
      <x:c r="J94" s="17" t="n">
        <x:v>0.684505</x:v>
      </x:c>
      <x:c r="K94" s="17" t="n">
        <x:v>0.30019239999999997</x:v>
      </x:c>
      <x:c r="L94" s="17" t="n">
        <x:v>0.73838124</x:v>
      </x:c>
      <x:c r="M94" s="17" t="n">
        <x:v>0.4381888400000001</x:v>
      </x:c>
      <x:c r="N94" s="18" t="n">
        <x:v>0.725030817278292</x:v>
      </x:c>
      <x:c r="O94" t="str">
        <x:v>TRINITY_DN12134_c0_g1_i3.p1</x:v>
      </x:c>
      <x:c r="P94" t="n">
        <x:v>1395</x:v>
      </x:c>
      <x:c r="Q94" t="str">
        <x:v>provisional_HQ_domain</x:v>
      </x:c>
      <x:c r="R94" t="str">
        <x:v>NBD_and_TMD_evidence</x:v>
      </x:c>
      <x:c r="S94" t="str">
        <x:v>IPR003439;IPR011527;PF00005;PF00664</x:v>
      </x:c>
      <x:c r="T94" t="str">
        <x:v>ABC transporter;ABC transporter transmembrane region;ABC transporter type 1, transmembrane domain;ABC transporter-like, ATP-binding domain</x:v>
      </x:c>
      <x:c r="U94"/>
      <x:c r="V94"/>
      <x:c r="W94"/>
      <x:c r="X94"/>
      <x:c r="Y94" s="15" t="b">
        <x:v>1</x:v>
      </x:c>
      <x:c r="Z94" s="15" t="b">
        <x:v>0</x:v>
      </x:c>
      <x:c r="AA94" s="15" t="b">
        <x:v>1</x:v>
      </x:c>
      <x:c r="AB94" s="15" t="b">
        <x:v>1</x:v>
      </x:c>
      <x:c r="AC94" t="str">
        <x:v>Spodoptera|XP_035429563.2</x:v>
      </x:c>
      <x:c r="AD94" s="19" t="n">
        <x:v>0</x:v>
      </x:c>
      <x:c r="AE94" t="n">
        <x:v>2805</x:v>
      </x:c>
      <x:c r="AF94" t="n">
        <x:v>96.341</x:v>
      </x:c>
      <x:c r="AG94" t="n">
        <x:v>100</x:v>
      </x:c>
      <x:c r="AH94" t="n">
        <x:v>100</x:v>
      </x:c>
      <x:c r="AI94" t="str">
        <x:v>sp|E9Q236|MRP4_MOUSE</x:v>
      </x:c>
      <x:c r="AJ94" t="str">
        <x:v>sp|E9Q236|MRP4_MOUSE ATP-binding cassette sub-family C member 4 OS=Mus musculus OX=10090 GN=Abcc4 PE=1 SV=1</x:v>
      </x:c>
      <x:c r="AK94" s="19" t="n">
        <x:v>0</x:v>
      </x:c>
      <x:c r="AL94" t="n">
        <x:v>978</x:v>
      </x:c>
      <x:c r="AM94" t="n">
        <x:v>41.4</x:v>
      </x:c>
      <x:c r="AN94" t="n">
        <x:v>99.64131994261119</x:v>
      </x:c>
      <x:c r="AO94" t="n">
        <x:v>104.83018867924528</x:v>
      </x:c>
      <x:c r="AP94" t="n">
        <x:v>0</x:v>
      </x:c>
      <x:c r="AQ94" t="n">
        <x:v>0</x:v>
      </x:c>
      <x:c r="AR94" t="str">
        <x:v>ABC_C001</x:v>
      </x:c>
      <x:c r="AS94" t="n">
        <x:v>11</x:v>
      </x:c>
      <x:c r="AT94" s="17" t="n">
        <x:f>AVERAGE(E94:G94)</x:f>
        <x:v>0.32847699999999996</x:v>
      </x:c>
      <x:c r="AU94" s="17" t="n">
        <x:f>STDEV.S(E94:G94)</x:f>
        <x:v>0.027439122562501878</x:v>
      </x:c>
      <x:c r="AV94" s="17" t="n">
        <x:f>AVERAGE(H94:J94)</x:f>
        <x:v>0.8521420000000001</x:v>
      </x:c>
      <x:c r="AW94" s="17" t="n">
        <x:f>STDEV.S(H94:J94)</x:f>
        <x:v>0.3295954139957047</x:v>
      </x:c>
      <x:c r="AX94" s="17" t="n">
        <x:f>AV94-AT94</x:f>
        <x:v>0.523665</x:v>
      </x:c>
      <x:c r="AY94" s="17" t="n">
        <x:f>LOG((AV94+1)/(AT94+1),2)</x:f>
        <x:v>0.47942146078301145</x:v>
      </x:c>
      <x:c r="AZ94" s="17" t="n">
        <x:f>AVERAGE(E94:J94)</x:f>
        <x:v>0.5903094999999999</x:v>
      </x:c>
      <x:c r="BA94" s="17" t="n">
        <x:f>MAX(E94:J94)</x:f>
        <x:v>1.23186</x:v>
      </x:c>
      <x:c r="BB94" s="20" t="n">
        <x:f>IF(Q94="provisional_HQ_domain",2,0)+IF(Y94,1,0)+IF(AB94,1,0)+IF(AI94&lt;&gt;"",1,0)+IF(AP94+AQ94&gt;0,1,0)</x:f>
        <x:v>5</x:v>
      </x:c>
      <x:c r="BC94" t="str">
        <x:f>IF(OR(ISNUMBER(SEARCH("exclude",U94)),ISNUMBER(SEARCH("hold",U94)),ISNUMBER(SEARCH("hold",W94))),"Review",IF(BB94&gt;=5,"Strong multi-evidence",IF(BB94&gt;=3,"Supported","Weak/inspect")))</x:f>
        <x:v>Strong multi-evidence</x:v>
      </x:c>
    </x:row>
    <x:row r="95">
      <x:c r="A95" t="str">
        <x:v>ABC</x:v>
      </x:c>
      <x:c r="B95" t="str">
        <x:v>TRINITY_DN12905_c0_g2</x:v>
      </x:c>
      <x:c r="C95" t="str">
        <x:v>yes</x:v>
      </x:c>
      <x:c r="D95" t="n">
        <x:v>2</x:v>
      </x:c>
      <x:c r="E95" s="17" t="n">
        <x:v>0.129634</x:v>
      </x:c>
      <x:c r="F95" s="17" t="n">
        <x:v>0.204889</x:v>
      </x:c>
      <x:c r="G95" s="17" t="n">
        <x:v>0.087326</x:v>
      </x:c>
      <x:c r="H95" s="17" t="n">
        <x:v>0.18942399999999998</x:v>
      </x:c>
      <x:c r="I95" s="17" t="n">
        <x:v>0.151115</x:v>
      </x:c>
      <x:c r="J95" s="17" t="n">
        <x:v>0.159671</x:v>
      </x:c>
      <x:c r="K95" s="17" t="n">
        <x:v>0.13095272</x:v>
      </x:c>
      <x:c r="L95" s="17" t="n">
        <x:v>0.1597554</x:v>
      </x:c>
      <x:c r="M95" s="17" t="n">
        <x:v>0.028802679999999997</x:v>
      </x:c>
      <x:c r="N95" s="18" t="n">
        <x:v>0.999999010765626</x:v>
      </x:c>
      <x:c r="O95" t="str">
        <x:v>TRINITY_DN12905_c0_g2_i1.p1</x:v>
      </x:c>
      <x:c r="P95" t="n">
        <x:v>629</x:v>
      </x:c>
      <x:c r="Q95" t="str">
        <x:v>provisional_HQ_domain</x:v>
      </x:c>
      <x:c r="R95" t="str">
        <x:v>NBD_and_TMD_evidence</x:v>
      </x:c>
      <x:c r="S95" t="str">
        <x:v>IPR003439;IPR013525;PF00005;PF01061</x:v>
      </x:c>
      <x:c r="T95" t="str">
        <x:v>ABC transporter;ABC transporter-like, ATP-binding domain;ABC-2 type transporter</x:v>
      </x:c>
      <x:c r="U95"/>
      <x:c r="V95"/>
      <x:c r="W95"/>
      <x:c r="X95"/>
      <x:c r="Y95" s="15" t="b">
        <x:v>1</x:v>
      </x:c>
      <x:c r="Z95" s="15" t="b">
        <x:v>0</x:v>
      </x:c>
      <x:c r="AA95" s="15" t="b">
        <x:v>1</x:v>
      </x:c>
      <x:c r="AB95" s="15" t="b">
        <x:v>1</x:v>
      </x:c>
      <x:c r="AC95" t="str">
        <x:v>Spodoptera|XP_035444891.1</x:v>
      </x:c>
      <x:c r="AD95" s="19" t="n">
        <x:v>0</x:v>
      </x:c>
      <x:c r="AE95" t="n">
        <x:v>1171</x:v>
      </x:c>
      <x:c r="AF95" t="n">
        <x:v>90.764</x:v>
      </x:c>
      <x:c r="AG95" t="n">
        <x:v>100</x:v>
      </x:c>
      <x:c r="AH95" t="n">
        <x:v>100</x:v>
      </x:c>
      <x:c r="AI95" t="str">
        <x:v>sp|Q9H172|ABCG4_HUMAN</x:v>
      </x:c>
      <x:c r="AJ95" t="str">
        <x:v>sp|Q9H172|ABCG4_HUMAN ATP-binding cassette sub-family G member 4 OS=Homo sapiens OX=9606 GN=ABCG4 PE=1 SV=2</x:v>
      </x:c>
      <x:c r="AK95" s="19" t="n">
        <x:v>1.02e-127</x:v>
      </x:c>
      <x:c r="AL95" t="n">
        <x:v>393</x:v>
      </x:c>
      <x:c r="AM95" t="n">
        <x:v>36.1</x:v>
      </x:c>
      <x:c r="AN95" t="n">
        <x:v>101.43312101910828</x:v>
      </x:c>
      <x:c r="AO95" t="n">
        <x:v>98.60681114551083</x:v>
      </x:c>
      <x:c r="AP95" t="n">
        <x:v>0</x:v>
      </x:c>
      <x:c r="AQ95" t="n">
        <x:v>0</x:v>
      </x:c>
      <x:c r="AR95" t="str">
        <x:v>ABC_C002</x:v>
      </x:c>
      <x:c r="AS95" t="n">
        <x:v>8</x:v>
      </x:c>
      <x:c r="AT95" s="17" t="n">
        <x:f>AVERAGE(E95:G95)</x:f>
        <x:v>0.14061633333333334</x:v>
      </x:c>
      <x:c r="AU95" s="17" t="n">
        <x:f>STDEV.S(E95:G95)</x:f>
        <x:v>0.05954597783505896</x:v>
      </x:c>
      <x:c r="AV95" s="17" t="n">
        <x:f>AVERAGE(H95:J95)</x:f>
        <x:v>0.16673666666666667</x:v>
      </x:c>
      <x:c r="AW95" s="17" t="n">
        <x:f>STDEV.S(H95:J95)</x:f>
        <x:v>0.020108147710153037</x:v>
      </x:c>
      <x:c r="AX95" s="17" t="n">
        <x:f>AV95-AT95</x:f>
        <x:v>0.02612033333333333</x:v>
      </x:c>
      <x:c r="AY95" s="17" t="n">
        <x:f>LOG((AV95+1)/(AT95+1),2)</x:f>
        <x:v>0.032665383451033266</x:v>
      </x:c>
      <x:c r="AZ95" s="17" t="n">
        <x:f>AVERAGE(E95:J95)</x:f>
        <x:v>0.1536765</x:v>
      </x:c>
      <x:c r="BA95" s="17" t="n">
        <x:f>MAX(E95:J95)</x:f>
        <x:v>0.204889</x:v>
      </x:c>
      <x:c r="BB95" s="20" t="n">
        <x:f>IF(Q95="provisional_HQ_domain",2,0)+IF(Y95,1,0)+IF(AB95,1,0)+IF(AI95&lt;&gt;"",1,0)+IF(AP95+AQ95&gt;0,1,0)</x:f>
        <x:v>5</x:v>
      </x:c>
      <x:c r="BC95" t="str">
        <x:f>IF(OR(ISNUMBER(SEARCH("exclude",U95)),ISNUMBER(SEARCH("hold",U95)),ISNUMBER(SEARCH("hold",W95))),"Review",IF(BB95&gt;=5,"Strong multi-evidence",IF(BB95&gt;=3,"Supported","Weak/inspect")))</x:f>
        <x:v>Strong multi-evidence</x:v>
      </x:c>
    </x:row>
    <x:row r="96">
      <x:c r="A96" t="str">
        <x:v>ABC</x:v>
      </x:c>
      <x:c r="B96" t="str">
        <x:v>TRINITY_DN13145_c0_g1</x:v>
      </x:c>
      <x:c r="C96" t="str">
        <x:v>no</x:v>
      </x:c>
      <x:c r="D96" t="n">
        <x:v>6</x:v>
      </x:c>
      <x:c r="E96" s="17" t="n">
        <x:v>0.145776</x:v>
      </x:c>
      <x:c r="F96" s="17" t="n">
        <x:v>0.319373</x:v>
      </x:c>
      <x:c r="G96" s="17" t="n">
        <x:v>0.227135</x:v>
      </x:c>
      <x:c r="H96" s="17" t="n">
        <x:v>0.564971</x:v>
      </x:c>
      <x:c r="I96" s="17" t="n">
        <x:v>0.715145</x:v>
      </x:c>
      <x:c r="J96" s="17" t="n">
        <x:v>0.806998</x:v>
      </x:c>
      <x:c r="K96" s="17" t="n">
        <x:v>0.220535</x:v>
      </x:c>
      <x:c r="L96" s="17" t="n">
        <x:v>0.65123452</x:v>
      </x:c>
      <x:c r="M96" s="17" t="n">
        <x:v>0.43069952</x:v>
      </x:c>
      <x:c r="N96" s="18" t="n">
        <x:v>0.999999010765626</x:v>
      </x:c>
      <x:c r="O96" t="str">
        <x:v>TRINITY_DN13145_c0_g1_i1.p1</x:v>
      </x:c>
      <x:c r="P96" t="n">
        <x:v>593</x:v>
      </x:c>
      <x:c r="Q96" t="str">
        <x:v>provisional_HQ_domain</x:v>
      </x:c>
      <x:c r="R96" t="str">
        <x:v>NBD_and_TMD_evidence</x:v>
      </x:c>
      <x:c r="S96" t="str">
        <x:v>IPR003439;IPR013525;IPR043926;PF00005;PF01061;PF19055</x:v>
      </x:c>
      <x:c r="T96" t="str">
        <x:v>ABC transporter;ABC transporter family G domain;ABC transporter-like, ATP-binding domain;ABC-2 type transporter</x:v>
      </x:c>
      <x:c r="U96"/>
      <x:c r="V96"/>
      <x:c r="W96"/>
      <x:c r="X96"/>
      <x:c r="Y96" s="15" t="b">
        <x:v>1</x:v>
      </x:c>
      <x:c r="Z96" s="15" t="b">
        <x:v>0</x:v>
      </x:c>
      <x:c r="AA96" s="15" t="b">
        <x:v>1</x:v>
      </x:c>
      <x:c r="AB96" s="15" t="b">
        <x:v>1</x:v>
      </x:c>
      <x:c r="AC96" t="str">
        <x:v>Spodoptera|XP_050555131.1</x:v>
      </x:c>
      <x:c r="AD96" s="19" t="n">
        <x:v>0</x:v>
      </x:c>
      <x:c r="AE96" t="n">
        <x:v>1025</x:v>
      </x:c>
      <x:c r="AF96" t="n">
        <x:v>83.953</x:v>
      </x:c>
      <x:c r="AG96" t="n">
        <x:v>100</x:v>
      </x:c>
      <x:c r="AH96" t="n">
        <x:v>100.339</x:v>
      </x:c>
      <x:c r="AI96" t="str">
        <x:v>sp|P10090|WHITE_DROME</x:v>
      </x:c>
      <x:c r="AJ96" t="str">
        <x:v>sp|P10090|WHITE_DROME Protein white OS=Drosophila melanogaster OX=7227 GN=w PE=1 SV=2</x:v>
      </x:c>
      <x:c r="AK96" s="19" t="n">
        <x:v>9.03e-76</x:v>
      </x:c>
      <x:c r="AL96" t="n">
        <x:v>257</x:v>
      </x:c>
      <x:c r="AM96" t="n">
        <x:v>32.2</x:v>
      </x:c>
      <x:c r="AN96" t="n">
        <x:v>98.64864864864865</x:v>
      </x:c>
      <x:c r="AO96" t="n">
        <x:v>85.00727802037845</x:v>
      </x:c>
      <x:c r="AP96" t="n">
        <x:v>0</x:v>
      </x:c>
      <x:c r="AQ96" t="n">
        <x:v>0</x:v>
      </x:c>
      <x:c r="AR96" t="str">
        <x:v>ABC_C002</x:v>
      </x:c>
      <x:c r="AS96" t="n">
        <x:v>8</x:v>
      </x:c>
      <x:c r="AT96" s="17" t="n">
        <x:f>AVERAGE(E96:G96)</x:f>
        <x:v>0.23076133333333335</x:v>
      </x:c>
      <x:c r="AU96" s="17" t="n">
        <x:f>STDEV.S(E96:G96)</x:f>
        <x:v>0.0868552953039326</x:v>
      </x:c>
      <x:c r="AV96" s="17" t="n">
        <x:f>AVERAGE(H96:J96)</x:f>
        <x:v>0.6957046666666667</x:v>
      </x:c>
      <x:c r="AW96" s="17" t="n">
        <x:f>STDEV.S(H96:J96)</x:f>
        <x:v>0.12217901662042191</x:v>
      </x:c>
      <x:c r="AX96" s="17" t="n">
        <x:f>AV96-AT96</x:f>
        <x:v>0.4649433333333334</x:v>
      </x:c>
      <x:c r="AY96" s="17" t="n">
        <x:f>LOG((AV96+1)/(AT96+1),2)</x:f>
        <x:v>0.46233389947055</x:v>
      </x:c>
      <x:c r="AZ96" s="17" t="n">
        <x:f>AVERAGE(E96:J96)</x:f>
        <x:v>0.463233</x:v>
      </x:c>
      <x:c r="BA96" s="17" t="n">
        <x:f>MAX(E96:J96)</x:f>
        <x:v>0.806998</x:v>
      </x:c>
      <x:c r="BB96" s="20" t="n">
        <x:f>IF(Q96="provisional_HQ_domain",2,0)+IF(Y96,1,0)+IF(AB96,1,0)+IF(AI96&lt;&gt;"",1,0)+IF(AP96+AQ96&gt;0,1,0)</x:f>
        <x:v>5</x:v>
      </x:c>
      <x:c r="BC96" t="str">
        <x:f>IF(OR(ISNUMBER(SEARCH("exclude",U96)),ISNUMBER(SEARCH("hold",U96)),ISNUMBER(SEARCH("hold",W96))),"Review",IF(BB96&gt;=5,"Strong multi-evidence",IF(BB96&gt;=3,"Supported","Weak/inspect")))</x:f>
        <x:v>Strong multi-evidence</x:v>
      </x:c>
    </x:row>
    <x:row r="97">
      <x:c r="A97" t="str">
        <x:v>ABC</x:v>
      </x:c>
      <x:c r="B97" t="str">
        <x:v>TRINITY_DN1442_c0_g1</x:v>
      </x:c>
      <x:c r="C97" t="str">
        <x:v>yes</x:v>
      </x:c>
      <x:c r="D97" t="n">
        <x:v>6</x:v>
      </x:c>
      <x:c r="E97" s="17" t="n">
        <x:v>2.0189470000000003</x:v>
      </x:c>
      <x:c r="F97" s="17" t="n">
        <x:v>4.206286</x:v>
      </x:c>
      <x:c r="G97" s="17" t="n">
        <x:v>4.898499</x:v>
      </x:c>
      <x:c r="H97" s="17" t="n">
        <x:v>4.056814</x:v>
      </x:c>
      <x:c r="I97" s="17" t="n">
        <x:v>3.50937</x:v>
      </x:c>
      <x:c r="J97" s="17" t="n">
        <x:v>1.8502159999999999</x:v>
      </x:c>
      <x:c r="K97" s="17" t="n">
        <x:v>3.27482576</x:v>
      </x:c>
      <x:c r="L97" s="17" t="n">
        <x:v>2.7680643799999998</x:v>
      </x:c>
      <x:c r="M97" s="17" t="n">
        <x:v>-0.5067613800000004</x:v>
      </x:c>
      <x:c r="N97" s="18" t="n">
        <x:v>0.82516036332033</x:v>
      </x:c>
      <x:c r="O97" t="str">
        <x:v>TRINITY_DN1442_c0_g1_i7.p1</x:v>
      </x:c>
      <x:c r="P97" t="n">
        <x:v>795</x:v>
      </x:c>
      <x:c r="Q97" t="str">
        <x:v>provisional_HQ_domain</x:v>
      </x:c>
      <x:c r="R97" t="str">
        <x:v>NBD_and_TMD_evidence</x:v>
      </x:c>
      <x:c r="S97" t="str">
        <x:v>IPR003439;IPR013525;PF00005;PF01061</x:v>
      </x:c>
      <x:c r="T97" t="str">
        <x:v>ABC transporter;ABC transporter-like, ATP-binding domain;ABC-2 type transporter</x:v>
      </x:c>
      <x:c r="U97"/>
      <x:c r="V97"/>
      <x:c r="W97"/>
      <x:c r="X97"/>
      <x:c r="Y97" s="15" t="b">
        <x:v>1</x:v>
      </x:c>
      <x:c r="Z97" s="15" t="b">
        <x:v>0</x:v>
      </x:c>
      <x:c r="AA97" s="15" t="b">
        <x:v>1</x:v>
      </x:c>
      <x:c r="AB97" s="15" t="b">
        <x:v>1</x:v>
      </x:c>
      <x:c r="AC97" t="str">
        <x:v>Spodoptera|XP_035442104.1</x:v>
      </x:c>
      <x:c r="AD97" s="19" t="n">
        <x:v>0</x:v>
      </x:c>
      <x:c r="AE97" t="n">
        <x:v>1589</x:v>
      </x:c>
      <x:c r="AF97" t="n">
        <x:v>96.478</x:v>
      </x:c>
      <x:c r="AG97" t="n">
        <x:v>100.126</x:v>
      </x:c>
      <x:c r="AH97" t="n">
        <x:v>100.126</x:v>
      </x:c>
      <x:c r="AI97" t="str">
        <x:v>sp|Q8T674|ABCGK_DICDI</x:v>
      </x:c>
      <x:c r="AJ97" t="str">
        <x:v>sp|Q8T674|ABCGK_DICDI ABC transporter G family member 20 OS=Dictyostelium discoideum OX=44689 GN=abcG20 PE=3 SV=1</x:v>
      </x:c>
      <x:c r="AK97" s="19" t="n">
        <x:v>3.5e-101</x:v>
      </x:c>
      <x:c r="AL97" t="n">
        <x:v>332</x:v>
      </x:c>
      <x:c r="AM97" t="n">
        <x:v>30.7</x:v>
      </x:c>
      <x:c r="AN97" t="n">
        <x:v>94.7103274559194</x:v>
      </x:c>
      <x:c r="AO97" t="n">
        <x:v>103.01369863013699</x:v>
      </x:c>
      <x:c r="AP97" t="n">
        <x:v>0</x:v>
      </x:c>
      <x:c r="AQ97" t="n">
        <x:v>0</x:v>
      </x:c>
      <x:c r="AR97" t="str">
        <x:v>ABC_C005</x:v>
      </x:c>
      <x:c r="AS97" t="n">
        <x:v>3</x:v>
      </x:c>
      <x:c r="AT97" s="17" t="n">
        <x:f>AVERAGE(E97:G97)</x:f>
        <x:v>3.707910666666667</x:v>
      </x:c>
      <x:c r="AU97" s="17" t="n">
        <x:f>STDEV.S(E97:G97)</x:f>
        <x:v>1.5030763153720217</x:v>
      </x:c>
      <x:c r="AV97" s="17" t="n">
        <x:f>AVERAGE(H97:J97)</x:f>
        <x:v>3.1388</x:v>
      </x:c>
      <x:c r="AW97" s="17" t="n">
        <x:f>STDEV.S(H97:J97)</x:f>
        <x:v>1.1490257947826934</x:v>
      </x:c>
      <x:c r="AX97" s="17" t="n">
        <x:f>AV97-AT97</x:f>
        <x:v>-0.569110666666667</x:v>
      </x:c>
      <x:c r="AY97" s="17" t="n">
        <x:f>LOG((AV97+1)/(AT97+1),2)</x:f>
        <x:v>-0.18587441064189703</x:v>
      </x:c>
      <x:c r="AZ97" s="17" t="n">
        <x:f>AVERAGE(E97:J97)</x:f>
        <x:v>3.4233553333333333</x:v>
      </x:c>
      <x:c r="BA97" s="17" t="n">
        <x:f>MAX(E97:J97)</x:f>
        <x:v>4.898499</x:v>
      </x:c>
      <x:c r="BB97" s="20" t="n">
        <x:f>IF(Q97="provisional_HQ_domain",2,0)+IF(Y97,1,0)+IF(AB97,1,0)+IF(AI97&lt;&gt;"",1,0)+IF(AP97+AQ97&gt;0,1,0)</x:f>
        <x:v>5</x:v>
      </x:c>
      <x:c r="BC97" t="str">
        <x:f>IF(OR(ISNUMBER(SEARCH("exclude",U97)),ISNUMBER(SEARCH("hold",U97)),ISNUMBER(SEARCH("hold",W97))),"Review",IF(BB97&gt;=5,"Strong multi-evidence",IF(BB97&gt;=3,"Supported","Weak/inspect")))</x:f>
        <x:v>Strong multi-evidence</x:v>
      </x:c>
    </x:row>
    <x:row r="98">
      <x:c r="A98" t="str">
        <x:v>ABC</x:v>
      </x:c>
      <x:c r="B98" t="str">
        <x:v>TRINITY_DN16854_c0_g1</x:v>
      </x:c>
      <x:c r="C98" t="str">
        <x:v>no</x:v>
      </x:c>
      <x:c r="D98" t="n">
        <x:v>2</x:v>
      </x:c>
      <x:c r="E98" s="17" t="n">
        <x:v>0.080382</x:v>
      </x:c>
      <x:c r="F98" s="17" t="n">
        <x:v>0.061393</x:v>
      </x:c>
      <x:c r="G98" s="17" t="n">
        <x:v>0.084627</x:v>
      </x:c>
      <x:c r="H98" s="17" t="n">
        <x:v>0.067196</x:v>
      </x:c>
      <x:c r="I98" s="17" t="n">
        <x:v>0.094155</x:v>
      </x:c>
      <x:c r="J98" s="17" t="n">
        <x:v>0.181649</x:v>
      </x:c>
      <x:c r="K98" s="17" t="n">
        <x:v>0.06239422</x:v>
      </x:c>
      <x:c r="L98" s="17" t="n">
        <x:v>0.10180264000000001</x:v>
      </x:c>
      <x:c r="M98" s="17" t="n">
        <x:v>0.03940842000000001</x:v>
      </x:c>
      <x:c r="N98" s="18" t="n">
        <x:v>0.881909765141061</x:v>
      </x:c>
      <x:c r="O98" t="str">
        <x:v>TRINITY_DN16854_c0_g1_i1.p1</x:v>
      </x:c>
      <x:c r="P98" t="n">
        <x:v>149</x:v>
      </x:c>
      <x:c r="Q98" t="str">
        <x:v>review</x:v>
      </x:c>
      <x:c r="R98" t="str">
        <x:v>NBD_only_or_TMD_not_detected</x:v>
      </x:c>
      <x:c r="S98" t="str">
        <x:v>IPR003439;PF00005</x:v>
      </x:c>
      <x:c r="T98" t="str">
        <x:v>ABC transporter;ABC transporter-like, ATP-binding domain</x:v>
      </x:c>
      <x:c r="U98" t="str">
        <x:v>hold_ABC_fragment_review</x:v>
      </x:c>
      <x:c r="V98" t="str">
        <x:v>partial ABC architecture; requires isoform/homology inspection</x:v>
      </x:c>
      <x:c r="W98" t="str">
        <x:v>hold_for_targeted_homology_or_assembly_review</x:v>
      </x:c>
      <x:c r="X98" t="str">
        <x:v>current isoforms do not unite sufficient sequence and architecture evidence</x:v>
      </x:c>
      <x:c r="Y98" s="15" t="b">
        <x:v>0</x:v>
      </x:c>
      <x:c r="Z98" s="15" t="b">
        <x:v>0</x:v>
      </x:c>
      <x:c r="AA98" s="15" t="b">
        <x:v>1</x:v>
      </x:c>
      <x:c r="AB98" s="15" t="b">
        <x:v>0</x:v>
      </x:c>
      <x:c r="AC98" t="str">
        <x:v>Bmori|XP_012549839.2</x:v>
      </x:c>
      <x:c r="AD98" s="19" t="n">
        <x:v>1.33e-48</x:v>
      </x:c>
      <x:c r="AE98" t="n">
        <x:v>160</x:v>
      </x:c>
      <x:c r="AF98" t="n">
        <x:v>55.263</x:v>
      </x:c>
      <x:c r="AG98" t="n">
        <x:v>102.013</x:v>
      </x:c>
      <x:c r="AH98" t="n">
        <x:v>11.5589</x:v>
      </x:c>
      <x:c r="AI98" t="str">
        <x:v>sp|P43245|MDR1_RAT</x:v>
      </x:c>
      <x:c r="AJ98" t="str">
        <x:v>sp|P43245|MDR1_RAT ATP-dependent translocase ABCB1 OS=Rattus norvegicus OX=10116 GN=Abcb1 PE=2 SV=1</x:v>
      </x:c>
      <x:c r="AK98" s="19" t="n">
        <x:v>7.46e-7</x:v>
      </x:c>
      <x:c r="AL98" t="n">
        <x:v>50.8</x:v>
      </x:c>
      <x:c r="AM98" t="n">
        <x:v>45.8</x:v>
      </x:c>
      <x:c r="AN98" t="n">
        <x:v>32.214765100671144</x:v>
      </x:c>
      <x:c r="AO98" t="n">
        <x:v>3.758809710258418</x:v>
      </x:c>
      <x:c r="AP98" t="n">
        <x:v>0</x:v>
      </x:c>
      <x:c r="AQ98" t="n">
        <x:v>0</x:v>
      </x:c>
      <x:c r="AR98" t="str">
        <x:v>ABC_C009</x:v>
      </x:c>
      <x:c r="AS98" t="n">
        <x:v>1</x:v>
      </x:c>
      <x:c r="AT98" s="17" t="n">
        <x:f>AVERAGE(E98:G98)</x:f>
        <x:v>0.07546733333333333</x:v>
      </x:c>
      <x:c r="AU98" s="17" t="n">
        <x:f>STDEV.S(E98:G98)</x:f>
        <x:v>0.012372152211047729</x:v>
      </x:c>
      <x:c r="AV98" s="17" t="n">
        <x:f>AVERAGE(H98:J98)</x:f>
        <x:v>0.11433333333333334</x:v>
      </x:c>
      <x:c r="AW98" s="17" t="n">
        <x:f>STDEV.S(H98:J98)</x:f>
        <x:v>0.05983515817922882</x:v>
      </x:c>
      <x:c r="AX98" s="17" t="n">
        <x:f>AV98-AT98</x:f>
        <x:v>0.03886600000000001</x:v>
      </x:c>
      <x:c r="AY98" s="17" t="n">
        <x:f>LOG((AV98+1)/(AT98+1),2)</x:f>
        <x:v>0.05121714979279392</x:v>
      </x:c>
      <x:c r="AZ98" s="17" t="n">
        <x:f>AVERAGE(E98:J98)</x:f>
        <x:v>0.09490033333333332</x:v>
      </x:c>
      <x:c r="BA98" s="17" t="n">
        <x:f>MAX(E98:J98)</x:f>
        <x:v>0.181649</x:v>
      </x:c>
      <x:c r="BB98" s="20" t="n">
        <x:f>IF(Q98="provisional_HQ_domain",2,0)+IF(Y98,1,0)+IF(AB98,1,0)+IF(AI98&lt;&gt;"",1,0)+IF(AP98+AQ98&gt;0,1,0)</x:f>
        <x:v>1</x:v>
      </x:c>
      <x:c r="BC98" t="str">
        <x:f>IF(OR(ISNUMBER(SEARCH("exclude",U98)),ISNUMBER(SEARCH("hold",U98)),ISNUMBER(SEARCH("hold",W98))),"Review",IF(BB98&gt;=5,"Strong multi-evidence",IF(BB98&gt;=3,"Supported","Weak/inspect")))</x:f>
        <x:v>Review</x:v>
      </x:c>
    </x:row>
    <x:row r="99">
      <x:c r="A99" t="str">
        <x:v>ABC</x:v>
      </x:c>
      <x:c r="B99" t="str">
        <x:v>TRINITY_DN16854_c0_g2</x:v>
      </x:c>
      <x:c r="C99" t="str">
        <x:v>yes</x:v>
      </x:c>
      <x:c r="D99" t="n">
        <x:v>3</x:v>
      </x:c>
      <x:c r="E99" s="17" t="n">
        <x:v>0.08494499999999999</x:v>
      </x:c>
      <x:c r="F99" s="17" t="n">
        <x:v>0.104567</x:v>
      </x:c>
      <x:c r="G99" s="17" t="n">
        <x:v>0.086847</x:v>
      </x:c>
      <x:c r="H99" s="17" t="n">
        <x:v>0.126491</x:v>
      </x:c>
      <x:c r="I99" s="17" t="n">
        <x:v>0.045468</x:v>
      </x:c>
      <x:c r="J99" s="17" t="n">
        <x:v>0.07756</x:v>
      </x:c>
      <x:c r="K99" s="17" t="n">
        <x:v>0.09045918</x:v>
      </x:c>
      <x:c r="L99" s="17" t="n">
        <x:v>0.073523162</x:v>
      </x:c>
      <x:c r="M99" s="17" t="n">
        <x:v>-0.016936017999999997</x:v>
      </x:c>
      <x:c r="N99" s="18" t="n">
        <x:v>0.999999010765626</x:v>
      </x:c>
      <x:c r="O99" t="str">
        <x:v>TRINITY_DN16854_c0_g2_i2.p1</x:v>
      </x:c>
      <x:c r="P99" t="n">
        <x:v>548</x:v>
      </x:c>
      <x:c r="Q99" t="str">
        <x:v>provisional_HQ_domain</x:v>
      </x:c>
      <x:c r="R99" t="str">
        <x:v>NBD_and_TMD_evidence</x:v>
      </x:c>
      <x:c r="S99" t="str">
        <x:v>IPR003439;IPR011527;PF00005;PF00664</x:v>
      </x:c>
      <x:c r="T99" t="str">
        <x:v>ABC transporter;ABC transporter transmembrane region;ABC transporter type 1, transmembrane domain;ABC transporter-like, ATP-binding domain</x:v>
      </x:c>
      <x:c r="U99"/>
      <x:c r="V99"/>
      <x:c r="W99"/>
      <x:c r="X99"/>
      <x:c r="Y99" s="15" t="b">
        <x:v>1</x:v>
      </x:c>
      <x:c r="Z99" s="15" t="b">
        <x:v>0</x:v>
      </x:c>
      <x:c r="AA99" s="15" t="b">
        <x:v>1</x:v>
      </x:c>
      <x:c r="AB99" s="15" t="b">
        <x:v>1</x:v>
      </x:c>
      <x:c r="AC99" t="str">
        <x:v>Spodoptera|XP_050558210.1</x:v>
      </x:c>
      <x:c r="AD99" s="19" t="n">
        <x:v>0</x:v>
      </x:c>
      <x:c r="AE99" t="n">
        <x:v>812</x:v>
      </x:c>
      <x:c r="AF99" t="n">
        <x:v>78.532</x:v>
      </x:c>
      <x:c r="AG99" t="n">
        <x:v>99.6344</x:v>
      </x:c>
      <x:c r="AH99" t="n">
        <x:v>41.2254</x:v>
      </x:c>
      <x:c r="AI99" t="str">
        <x:v>sp|Q00748|MDR65_DROME</x:v>
      </x:c>
      <x:c r="AJ99" t="str">
        <x:v>sp|Q00748|MDR65_DROME Multidrug resistance protein homolog 65 OS=Drosophila melanogaster OX=7227 GN=Mdr65 PE=1 SV=2</x:v>
      </x:c>
      <x:c r="AK99" s="19" t="n">
        <x:v>2.35e-137</x:v>
      </x:c>
      <x:c r="AL99" t="n">
        <x:v>432</x:v>
      </x:c>
      <x:c r="AM99" t="n">
        <x:v>46.9</x:v>
      </x:c>
      <x:c r="AN99" t="n">
        <x:v>97.44058500914076</x:v>
      </x:c>
      <x:c r="AO99" t="n">
        <x:v>40.93701996927803</x:v>
      </x:c>
      <x:c r="AP99" t="n">
        <x:v>0</x:v>
      </x:c>
      <x:c r="AQ99" t="n">
        <x:v>0</x:v>
      </x:c>
      <x:c r="AR99" t="str">
        <x:v>ABC_C003</x:v>
      </x:c>
      <x:c r="AS99" t="n">
        <x:v>6</x:v>
      </x:c>
      <x:c r="AT99" s="17" t="n">
        <x:f>AVERAGE(E99:G99)</x:f>
        <x:v>0.09211966666666666</x:v>
      </x:c>
      <x:c r="AU99" s="17" t="n">
        <x:f>STDEV.S(E99:G99)</x:f>
        <x:v>0.010821574808378554</x:v>
      </x:c>
      <x:c r="AV99" s="17" t="n">
        <x:f>AVERAGE(H99:J99)</x:f>
        <x:v>0.083173</x:v>
      </x:c>
      <x:c r="AW99" s="17" t="n">
        <x:f>STDEV.S(H99:J99)</x:f>
        <x:v>0.04080209503199559</x:v>
      </x:c>
      <x:c r="AX99" s="17" t="n">
        <x:f>AV99-AT99</x:f>
        <x:v>-0.008946666666666658</x:v>
      </x:c>
      <x:c r="AY99" s="17" t="n">
        <x:f>LOG((AV99+1)/(AT99+1),2)</x:f>
        <x:v>-0.01186726237740066</x:v>
      </x:c>
      <x:c r="AZ99" s="17" t="n">
        <x:f>AVERAGE(E99:J99)</x:f>
        <x:v>0.08764633333333333</x:v>
      </x:c>
      <x:c r="BA99" s="17" t="n">
        <x:f>MAX(E99:J99)</x:f>
        <x:v>0.126491</x:v>
      </x:c>
      <x:c r="BB99" s="20" t="n">
        <x:f>IF(Q99="provisional_HQ_domain",2,0)+IF(Y99,1,0)+IF(AB99,1,0)+IF(AI99&lt;&gt;"",1,0)+IF(AP99+AQ99&gt;0,1,0)</x:f>
        <x:v>5</x:v>
      </x:c>
      <x:c r="BC99" t="str">
        <x:f>IF(OR(ISNUMBER(SEARCH("exclude",U99)),ISNUMBER(SEARCH("hold",U99)),ISNUMBER(SEARCH("hold",W99))),"Review",IF(BB99&gt;=5,"Strong multi-evidence",IF(BB99&gt;=3,"Supported","Weak/inspect")))</x:f>
        <x:v>Strong multi-evidence</x:v>
      </x:c>
    </x:row>
    <x:row r="100">
      <x:c r="A100" t="str">
        <x:v>ABC</x:v>
      </x:c>
      <x:c r="B100" t="str">
        <x:v>TRINITY_DN16854_c0_g4</x:v>
      </x:c>
      <x:c r="C100" t="str">
        <x:v>no</x:v>
      </x:c>
      <x:c r="D100" t="n">
        <x:v>1</x:v>
      </x:c>
      <x:c r="E100" s="17" t="n">
        <x:v>0.116129</x:v>
      </x:c>
      <x:c r="F100" s="17" t="n">
        <x:v>0.143279</x:v>
      </x:c>
      <x:c r="G100" s="17" t="n">
        <x:v>0.208288</x:v>
      </x:c>
      <x:c r="H100" s="17" t="n">
        <x:v>0.092049</x:v>
      </x:c>
      <x:c r="I100" s="17" t="n">
        <x:v>0.085077</x:v>
      </x:c>
      <x:c r="J100" s="17" t="n">
        <x:v>0.10123</x:v>
      </x:c>
      <x:c r="K100" s="17" t="n">
        <x:v>0.1324525</x:v>
      </x:c>
      <x:c r="L100" s="17" t="n">
        <x:v>0.075551252</x:v>
      </x:c>
      <x:c r="M100" s="17" t="n">
        <x:v>-0.056901248</x:v>
      </x:c>
      <x:c r="N100" s="18" t="n">
        <x:v>0.766503479052102</x:v>
      </x:c>
      <x:c r="O100" t="str">
        <x:v>TRINITY_DN16854_c0_g4_i1.p1</x:v>
      </x:c>
      <x:c r="P100" t="n">
        <x:v>214</x:v>
      </x:c>
      <x:c r="Q100" t="str">
        <x:v>review</x:v>
      </x:c>
      <x:c r="R100" t="str">
        <x:v>TMD_only_or_NBD_not_detected</x:v>
      </x:c>
      <x:c r="S100" t="str">
        <x:v>IPR011527;PF00664</x:v>
      </x:c>
      <x:c r="T100" t="str">
        <x:v>ABC transporter transmembrane region;ABC transporter type 1, transmembrane domain</x:v>
      </x:c>
      <x:c r="U100" t="str">
        <x:v>hold_ABC_fragment_review</x:v>
      </x:c>
      <x:c r="V100" t="str">
        <x:v>partial ABC architecture; requires isoform/homology inspection</x:v>
      </x:c>
      <x:c r="W100" t="str">
        <x:v>hold_for_targeted_homology_or_assembly_review</x:v>
      </x:c>
      <x:c r="X100" t="str">
        <x:v>current isoforms do not unite sufficient sequence and architecture evidence</x:v>
      </x:c>
      <x:c r="Y100" s="15" t="b">
        <x:v>1</x:v>
      </x:c>
      <x:c r="Z100" s="15" t="b">
        <x:v>0</x:v>
      </x:c>
      <x:c r="AA100" s="15" t="b">
        <x:v>1</x:v>
      </x:c>
      <x:c r="AB100" s="15" t="b">
        <x:v>0</x:v>
      </x:c>
      <x:c r="AC100" t="str">
        <x:v>Bmori|XP_012549839.2</x:v>
      </x:c>
      <x:c r="AD100" s="19" t="n">
        <x:v>2.79e-96</x:v>
      </x:c>
      <x:c r="AE100" t="n">
        <x:v>299</x:v>
      </x:c>
      <x:c r="AF100" t="n">
        <x:v>66.822</x:v>
      </x:c>
      <x:c r="AG100" t="n">
        <x:v>100</x:v>
      </x:c>
      <x:c r="AH100" t="n">
        <x:v>16.2738</x:v>
      </x:c>
      <x:c r="AI100" t="str">
        <x:v>sp|Q00449|MDR49_DROME</x:v>
      </x:c>
      <x:c r="AJ100" t="str">
        <x:v>sp|Q00449|MDR49_DROME Multidrug resistance protein homolog 49 OS=Drosophila melanogaster OX=7227 GN=Mdr49 PE=2 SV=2</x:v>
      </x:c>
      <x:c r="AK100" s="19" t="n">
        <x:v>3.53e-20</x:v>
      </x:c>
      <x:c r="AL100" t="n">
        <x:v>91.7</x:v>
      </x:c>
      <x:c r="AM100" t="n">
        <x:v>31.9</x:v>
      </x:c>
      <x:c r="AN100" t="n">
        <x:v>86.44859813084112</x:v>
      </x:c>
      <x:c r="AO100" t="n">
        <x:v>14.208909370199693</x:v>
      </x:c>
      <x:c r="AP100" t="n">
        <x:v>0</x:v>
      </x:c>
      <x:c r="AQ100" t="n">
        <x:v>0</x:v>
      </x:c>
      <x:c r="AR100" t="str">
        <x:v>ABC_C010</x:v>
      </x:c>
      <x:c r="AS100" t="n">
        <x:v>1</x:v>
      </x:c>
      <x:c r="AT100" s="17" t="n">
        <x:f>AVERAGE(E100:G100)</x:f>
        <x:v>0.15589866666666666</x:v>
      </x:c>
      <x:c r="AU100" s="17" t="n">
        <x:f>STDEV.S(E100:G100)</x:f>
        <x:v>0.047357811502785195</x:v>
      </x:c>
      <x:c r="AV100" s="17" t="n">
        <x:f>AVERAGE(H100:J100)</x:f>
        <x:v>0.09278533333333333</x:v>
      </x:c>
      <x:c r="AW100" s="17" t="n">
        <x:f>STDEV.S(H100:J100)</x:f>
        <x:v>0.008101635164171077</x:v>
      </x:c>
      <x:c r="AX100" s="17" t="n">
        <x:f>AV100-AT100</x:f>
        <x:v>-0.06311333333333333</x:v>
      </x:c>
      <x:c r="AY100" s="17" t="n">
        <x:f>LOG((AV100+1)/(AT100+1),2)</x:f>
        <x:v>-0.08100490173887706</x:v>
      </x:c>
      <x:c r="AZ100" s="17" t="n">
        <x:f>AVERAGE(E100:J100)</x:f>
        <x:v>0.12434200000000001</x:v>
      </x:c>
      <x:c r="BA100" s="17" t="n">
        <x:f>MAX(E100:J100)</x:f>
        <x:v>0.208288</x:v>
      </x:c>
      <x:c r="BB100" s="20" t="n">
        <x:f>IF(Q100="provisional_HQ_domain",2,0)+IF(Y100,1,0)+IF(AB100,1,0)+IF(AI100&lt;&gt;"",1,0)+IF(AP100+AQ100&gt;0,1,0)</x:f>
        <x:v>2</x:v>
      </x:c>
      <x:c r="BC100" t="str">
        <x:f>IF(OR(ISNUMBER(SEARCH("exclude",U100)),ISNUMBER(SEARCH("hold",U100)),ISNUMBER(SEARCH("hold",W100))),"Review",IF(BB100&gt;=5,"Strong multi-evidence",IF(BB100&gt;=3,"Supported","Weak/inspect")))</x:f>
        <x:v>Review</x:v>
      </x:c>
    </x:row>
    <x:row r="101">
      <x:c r="A101" t="str">
        <x:v>ABC</x:v>
      </x:c>
      <x:c r="B101" t="str">
        <x:v>TRINITY_DN16854_c0_g5</x:v>
      </x:c>
      <x:c r="C101" t="str">
        <x:v>no</x:v>
      </x:c>
      <x:c r="D101" t="n">
        <x:v>1</x:v>
      </x:c>
      <x:c r="E101" s="17" t="n">
        <x:v>0</x:v>
      </x:c>
      <x:c r="F101" s="17" t="n">
        <x:v>0.193415</x:v>
      </x:c>
      <x:c r="G101" s="17" t="n">
        <x:v>0.080681</x:v>
      </x:c>
      <x:c r="H101" s="17" t="n">
        <x:v>0.238216</x:v>
      </x:c>
      <x:c r="I101" s="17" t="n">
        <x:v>0.108634</x:v>
      </x:c>
      <x:c r="J101" s="17" t="n">
        <x:v>0</x:v>
      </x:c>
      <x:c r="K101" s="17" t="n">
        <x:v>0.08895664</x:v>
      </x:c>
      <x:c r="L101" s="17" t="n">
        <x:v>0.1119687</x:v>
      </x:c>
      <x:c r="M101" s="17" t="n">
        <x:v>0.02301206</x:v>
      </x:c>
      <x:c r="N101" s="18"/>
      <x:c r="O101" t="str">
        <x:v>TRINITY_DN16854_c0_g5_i1.p2</x:v>
      </x:c>
      <x:c r="P101" t="n">
        <x:v>101</x:v>
      </x:c>
      <x:c r="Q101" t="str">
        <x:v>review</x:v>
      </x:c>
      <x:c r="R101" t="str">
        <x:v>no_family_defining_domain_in_current_core_table</x:v>
      </x:c>
      <x:c r="S101" t="str">
        <x:v>none</x:v>
      </x:c>
      <x:c r="T101" t="str">
        <x:v>none</x:v>
      </x:c>
      <x:c r="U101" t="str">
        <x:v>exclude_from_current_ABC_rough_set</x:v>
      </x:c>
      <x:c r="V101" t="str">
        <x:v>no defining ABC domain in the current core table and no historical support</x:v>
      </x:c>
      <x:c r="W101"/>
      <x:c r="X101"/>
      <x:c r="Y101" s="15" t="b">
        <x:v>0</x:v>
      </x:c>
      <x:c r="Z101" s="15" t="b">
        <x:v>0</x:v>
      </x:c>
      <x:c r="AA101" s="15" t="b">
        <x:v>1</x:v>
      </x:c>
      <x:c r="AB101" s="15" t="b">
        <x:v>0</x:v>
      </x:c>
      <x:c r="AC101" t="str">
        <x:v>Bmori|XP_012549839.2</x:v>
      </x:c>
      <x:c r="AD101" s="19" t="n">
        <x:v>1.43e-48</x:v>
      </x:c>
      <x:c r="AE101" t="n">
        <x:v>158</x:v>
      </x:c>
      <x:c r="AF101" t="n">
        <x:v>70</x:v>
      </x:c>
      <x:c r="AG101" t="n">
        <x:v>99.0099</x:v>
      </x:c>
      <x:c r="AH101" t="n">
        <x:v>7.60456</x:v>
      </x:c>
      <x:c r="AI101" t="str">
        <x:v>sp|Q00449|MDR49_DROME</x:v>
      </x:c>
      <x:c r="AJ101" t="str">
        <x:v>sp|Q00449|MDR49_DROME Multidrug resistance protein homolog 49 OS=Drosophila melanogaster OX=7227 GN=Mdr49 PE=2 SV=2</x:v>
      </x:c>
      <x:c r="AK101" s="19" t="n">
        <x:v>2.45e-10</x:v>
      </x:c>
      <x:c r="AL101" t="n">
        <x:v>58.9</x:v>
      </x:c>
      <x:c r="AM101" t="n">
        <x:v>34.5</x:v>
      </x:c>
      <x:c r="AN101" t="n">
        <x:v>83.16831683168317</x:v>
      </x:c>
      <x:c r="AO101" t="n">
        <x:v>6.451612903225806</x:v>
      </x:c>
      <x:c r="AP101" t="n">
        <x:v>0</x:v>
      </x:c>
      <x:c r="AQ101" t="n">
        <x:v>0</x:v>
      </x:c>
      <x:c r="AR101" t="str">
        <x:v>ABC_C011</x:v>
      </x:c>
      <x:c r="AS101" t="n">
        <x:v>1</x:v>
      </x:c>
      <x:c r="AT101" s="17" t="n">
        <x:f>AVERAGE(E101:G101)</x:f>
        <x:v>0.09136533333333334</x:v>
      </x:c>
      <x:c r="AU101" s="17" t="n">
        <x:f>STDEV.S(E101:G101)</x:f>
        <x:v>0.09714914714156442</x:v>
      </x:c>
      <x:c r="AV101" s="17" t="n">
        <x:f>AVERAGE(H101:J101)</x:f>
        <x:v>0.11561666666666666</x:v>
      </x:c>
      <x:c r="AW101" s="17" t="n">
        <x:f>STDEV.S(H101:J101)</x:f>
        <x:v>0.11926140989160465</x:v>
      </x:c>
      <x:c r="AX101" s="17" t="n">
        <x:f>AV101-AT101</x:f>
        <x:v>0.02425133333333332</x:v>
      </x:c>
      <x:c r="AY101" s="17" t="n">
        <x:f>LOG((AV101+1)/(AT101+1),2)</x:f>
        <x:v>0.0317072695936981</x:v>
      </x:c>
      <x:c r="AZ101" s="17" t="n">
        <x:f>AVERAGE(E101:J101)</x:f>
        <x:v>0.103491</x:v>
      </x:c>
      <x:c r="BA101" s="17" t="n">
        <x:f>MAX(E101:J101)</x:f>
        <x:v>0.238216</x:v>
      </x:c>
      <x:c r="BB101" s="20" t="n">
        <x:f>IF(Q101="provisional_HQ_domain",2,0)+IF(Y101,1,0)+IF(AB101,1,0)+IF(AI101&lt;&gt;"",1,0)+IF(AP101+AQ101&gt;0,1,0)</x:f>
        <x:v>1</x:v>
      </x:c>
      <x:c r="BC101" t="str">
        <x:f>IF(OR(ISNUMBER(SEARCH("exclude",U101)),ISNUMBER(SEARCH("hold",U101)),ISNUMBER(SEARCH("hold",W101))),"Review",IF(BB101&gt;=5,"Strong multi-evidence",IF(BB101&gt;=3,"Supported","Weak/inspect")))</x:f>
        <x:v>Review</x:v>
      </x:c>
    </x:row>
    <x:row r="102">
      <x:c r="A102" t="str">
        <x:v>ABC</x:v>
      </x:c>
      <x:c r="B102" t="str">
        <x:v>TRINITY_DN18075_c0_g1</x:v>
      </x:c>
      <x:c r="C102" t="str">
        <x:v>yes</x:v>
      </x:c>
      <x:c r="D102" t="n">
        <x:v>1</x:v>
      </x:c>
      <x:c r="E102" s="17" t="n">
        <x:v>0.166771</x:v>
      </x:c>
      <x:c r="F102" s="17" t="n">
        <x:v>0.556694</x:v>
      </x:c>
      <x:c r="G102" s="17" t="n">
        <x:v>0.912225</x:v>
      </x:c>
      <x:c r="H102" s="17" t="n">
        <x:v>0.816789</x:v>
      </x:c>
      <x:c r="I102" s="17" t="n">
        <x:v>0.476444</x:v>
      </x:c>
      <x:c r="J102" s="17" t="n">
        <x:v>0.223954</x:v>
      </x:c>
      <x:c r="K102" s="17" t="n">
        <x:v>0.49707159999999995</x:v>
      </x:c>
      <x:c r="L102" s="17" t="n">
        <x:v>0.4531648</x:v>
      </x:c>
      <x:c r="M102" s="17" t="n">
        <x:v>-0.04390679999999997</x:v>
      </x:c>
      <x:c r="N102" s="18" t="n">
        <x:v>0.999999010765626</x:v>
      </x:c>
      <x:c r="O102" t="str">
        <x:v>TRINITY_DN18075_c0_g1_i1.p1</x:v>
      </x:c>
      <x:c r="P102" t="n">
        <x:v>645</x:v>
      </x:c>
      <x:c r="Q102" t="str">
        <x:v>review</x:v>
      </x:c>
      <x:c r="R102" t="str">
        <x:v>NBD_only_or_TMD_not_detected</x:v>
      </x:c>
      <x:c r="S102" t="str">
        <x:v>IPR003439;PF00005</x:v>
      </x:c>
      <x:c r="T102" t="str">
        <x:v>ABC transporter;ABC transporter-like, ATP-binding domain</x:v>
      </x:c>
      <x:c r="U102" t="str">
        <x:v>retain_ABC_fragment_or_partial</x:v>
      </x:c>
      <x:c r="V102" t="str">
        <x:v>historical homology plus partial ABC architecture; inspect isoforms before nomenclature</x:v>
      </x:c>
      <x:c r="W102" t="str">
        <x:v>retain_historical_partial_ABC</x:v>
      </x:c>
      <x:c r="X102" t="str">
        <x:v>historical support plus partial sequence-level ABC evidence</x:v>
      </x:c>
      <x:c r="Y102" s="15" t="b">
        <x:v>1</x:v>
      </x:c>
      <x:c r="Z102" s="15" t="b">
        <x:v>0</x:v>
      </x:c>
      <x:c r="AA102" s="15" t="b">
        <x:v>1</x:v>
      </x:c>
      <x:c r="AB102" s="15" t="b">
        <x:v>1</x:v>
      </x:c>
      <x:c r="AC102" t="str">
        <x:v>Spodoptera|XP_050557282.1</x:v>
      </x:c>
      <x:c r="AD102" s="19" t="n">
        <x:v>0</x:v>
      </x:c>
      <x:c r="AE102" t="n">
        <x:v>1216</x:v>
      </x:c>
      <x:c r="AF102" t="n">
        <x:v>92.391</x:v>
      </x:c>
      <x:c r="AG102" t="n">
        <x:v>100</x:v>
      </x:c>
      <x:c r="AH102" t="n">
        <x:v>101.258</x:v>
      </x:c>
      <x:c r="AI102" t="str">
        <x:v>sp|Q9H222|ABCG5_HUMAN</x:v>
      </x:c>
      <x:c r="AJ102" t="str">
        <x:v>sp|Q9H222|ABCG5_HUMAN ATP-binding cassette sub-family G member 5 OS=Homo sapiens OX=9606 GN=ABCG5 PE=1 SV=1</x:v>
      </x:c>
      <x:c r="AK102" s="19" t="n">
        <x:v>5.77e-57</x:v>
      </x:c>
      <x:c r="AL102" t="n">
        <x:v>207</x:v>
      </x:c>
      <x:c r="AM102" t="n">
        <x:v>29.7</x:v>
      </x:c>
      <x:c r="AN102" t="n">
        <x:v>80.59006211180125</x:v>
      </x:c>
      <x:c r="AO102" t="n">
        <x:v>79.72350230414746</x:v>
      </x:c>
      <x:c r="AP102" t="n">
        <x:v>0</x:v>
      </x:c>
      <x:c r="AQ102" t="n">
        <x:v>0</x:v>
      </x:c>
      <x:c r="AR102" t="str">
        <x:v>ABC_C002</x:v>
      </x:c>
      <x:c r="AS102" t="n">
        <x:v>8</x:v>
      </x:c>
      <x:c r="AT102" s="17" t="n">
        <x:f>AVERAGE(E102:G102)</x:f>
        <x:v>0.54523</x:v>
      </x:c>
      <x:c r="AU102" s="17" t="n">
        <x:f>STDEV.S(E102:G102)</x:f>
        <x:v>0.37285920130928774</x:v>
      </x:c>
      <x:c r="AV102" s="17" t="n">
        <x:f>AVERAGE(H102:J102)</x:f>
        <x:v>0.505729</x:v>
      </x:c>
      <x:c r="AW102" s="17" t="n">
        <x:f>STDEV.S(H102:J102)</x:f>
        <x:v>0.2975004919743831</x:v>
      </x:c>
      <x:c r="AX102" s="17" t="n">
        <x:f>AV102-AT102</x:f>
        <x:v>-0.03950100000000001</x:v>
      </x:c>
      <x:c r="AY102" s="17" t="n">
        <x:f>LOG((AV102+1)/(AT102+1),2)</x:f>
        <x:v>-0.03735945410164816</x:v>
      </x:c>
      <x:c r="AZ102" s="17" t="n">
        <x:f>AVERAGE(E102:J102)</x:f>
        <x:v>0.5254795</x:v>
      </x:c>
      <x:c r="BA102" s="17" t="n">
        <x:f>MAX(E102:J102)</x:f>
        <x:v>0.912225</x:v>
      </x:c>
      <x:c r="BB102" s="20" t="n">
        <x:f>IF(Q102="provisional_HQ_domain",2,0)+IF(Y102,1,0)+IF(AB102,1,0)+IF(AI102&lt;&gt;"",1,0)+IF(AP102+AQ102&gt;0,1,0)</x:f>
        <x:v>3</x:v>
      </x:c>
      <x:c r="BC102" t="str">
        <x:f>IF(OR(ISNUMBER(SEARCH("exclude",U102)),ISNUMBER(SEARCH("hold",U102)),ISNUMBER(SEARCH("hold",W102))),"Review",IF(BB102&gt;=5,"Strong multi-evidence",IF(BB102&gt;=3,"Supported","Weak/inspect")))</x:f>
        <x:v>Supported</x:v>
      </x:c>
    </x:row>
    <x:row r="103">
      <x:c r="A103" t="str">
        <x:v>ABC</x:v>
      </x:c>
      <x:c r="B103" t="str">
        <x:v>TRINITY_DN18452_c0_g1</x:v>
      </x:c>
      <x:c r="C103" t="str">
        <x:v>yes</x:v>
      </x:c>
      <x:c r="D103" t="n">
        <x:v>4</x:v>
      </x:c>
      <x:c r="E103" s="17" t="n">
        <x:v>0.504035</x:v>
      </x:c>
      <x:c r="F103" s="17" t="n">
        <x:v>0.771927</x:v>
      </x:c>
      <x:c r="G103" s="17" t="n">
        <x:v>0.550454</x:v>
      </x:c>
      <x:c r="H103" s="17" t="n">
        <x:v>0.970993</x:v>
      </x:c>
      <x:c r="I103" s="17" t="n">
        <x:v>0.472932</x:v>
      </x:c>
      <x:c r="J103" s="17" t="n">
        <x:v>0.479729</x:v>
      </x:c>
      <x:c r="K103" s="17" t="n">
        <x:v>0.5272185840000001</x:v>
      </x:c>
      <x:c r="L103" s="17" t="n">
        <x:v>0.57417614</x:v>
      </x:c>
      <x:c r="M103" s="17" t="n">
        <x:v>0.046957555999999845</x:v>
      </x:c>
      <x:c r="N103" s="18" t="n">
        <x:v>0.824321486151444</x:v>
      </x:c>
      <x:c r="O103" t="str">
        <x:v>TRINITY_DN18452_c0_g1_i1.p1</x:v>
      </x:c>
      <x:c r="P103" t="n">
        <x:v>1399</x:v>
      </x:c>
      <x:c r="Q103" t="str">
        <x:v>provisional_HQ_domain</x:v>
      </x:c>
      <x:c r="R103" t="str">
        <x:v>NBD_and_TMD_evidence</x:v>
      </x:c>
      <x:c r="S103" t="str">
        <x:v>IPR003439;IPR011527;PF00005;PF00664</x:v>
      </x:c>
      <x:c r="T103" t="str">
        <x:v>ABC transporter;ABC transporter transmembrane region;ABC transporter type 1, transmembrane domain;ABC transporter-like, ATP-binding domain</x:v>
      </x:c>
      <x:c r="U103"/>
      <x:c r="V103"/>
      <x:c r="W103"/>
      <x:c r="X103"/>
      <x:c r="Y103" s="15" t="b">
        <x:v>1</x:v>
      </x:c>
      <x:c r="Z103" s="15" t="b">
        <x:v>0</x:v>
      </x:c>
      <x:c r="AA103" s="15" t="b">
        <x:v>1</x:v>
      </x:c>
      <x:c r="AB103" s="15" t="b">
        <x:v>1</x:v>
      </x:c>
      <x:c r="AC103" t="str">
        <x:v>Spodoptera|XP_035430840.1</x:v>
      </x:c>
      <x:c r="AD103" s="19" t="n">
        <x:v>0</x:v>
      </x:c>
      <x:c r="AE103" t="n">
        <x:v>2598</x:v>
      </x:c>
      <x:c r="AF103" t="n">
        <x:v>90.701</x:v>
      </x:c>
      <x:c r="AG103" t="n">
        <x:v>100</x:v>
      </x:c>
      <x:c r="AH103" t="n">
        <x:v>100.215</x:v>
      </x:c>
      <x:c r="AI103" t="str">
        <x:v>sp|P91660|L259_DROME</x:v>
      </x:c>
      <x:c r="AJ103" t="str">
        <x:v>sp|P91660|L259_DROME Probable multidrug resistance-associated protein lethal(2)03659 OS=Drosophila melanogaster OX=7227 GN=l(2)03659 PE=2 SV=4</x:v>
      </x:c>
      <x:c r="AK103" s="19" t="n">
        <x:v>0</x:v>
      </x:c>
      <x:c r="AL103" t="n">
        <x:v>1155</x:v>
      </x:c>
      <x:c r="AM103" t="n">
        <x:v>47.5</x:v>
      </x:c>
      <x:c r="AN103" t="n">
        <x:v>99.35622317596567</x:v>
      </x:c>
      <x:c r="AO103" t="n">
        <x:v>101.09170305676857</x:v>
      </x:c>
      <x:c r="AP103" t="n">
        <x:v>0</x:v>
      </x:c>
      <x:c r="AQ103" t="n">
        <x:v>0</x:v>
      </x:c>
      <x:c r="AR103" t="str">
        <x:v>ABC_C001</x:v>
      </x:c>
      <x:c r="AS103" t="n">
        <x:v>11</x:v>
      </x:c>
      <x:c r="AT103" s="17" t="n">
        <x:f>AVERAGE(E103:G103)</x:f>
        <x:v>0.6088053333333333</x:v>
      </x:c>
      <x:c r="AU103" s="17" t="n">
        <x:f>STDEV.S(E103:G103)</x:f>
        <x:v>0.14316141062567572</x:v>
      </x:c>
      <x:c r="AV103" s="17" t="n">
        <x:f>AVERAGE(H103:J103)</x:f>
        <x:v>0.6412180000000001</x:v>
      </x:c>
      <x:c r="AW103" s="17" t="n">
        <x:f>STDEV.S(H103:J103)</x:f>
        <x:v>0.28561374751751706</x:v>
      </x:c>
      <x:c r="AX103" s="17" t="n">
        <x:f>AV103-AT103</x:f>
        <x:v>0.032412666666666756</x:v>
      </x:c>
      <x:c r="AY103" s="17" t="n">
        <x:f>LOG((AV103+1)/(AT103+1),2)</x:f>
        <x:v>0.028777112709654336</x:v>
      </x:c>
      <x:c r="AZ103" s="17" t="n">
        <x:f>AVERAGE(E103:J103)</x:f>
        <x:v>0.6250116666666666</x:v>
      </x:c>
      <x:c r="BA103" s="17" t="n">
        <x:f>MAX(E103:J103)</x:f>
        <x:v>0.970993</x:v>
      </x:c>
      <x:c r="BB103" s="20" t="n">
        <x:f>IF(Q103="provisional_HQ_domain",2,0)+IF(Y103,1,0)+IF(AB103,1,0)+IF(AI103&lt;&gt;"",1,0)+IF(AP103+AQ103&gt;0,1,0)</x:f>
        <x:v>5</x:v>
      </x:c>
      <x:c r="BC103" t="str">
        <x:f>IF(OR(ISNUMBER(SEARCH("exclude",U103)),ISNUMBER(SEARCH("hold",U103)),ISNUMBER(SEARCH("hold",W103))),"Review",IF(BB103&gt;=5,"Strong multi-evidence",IF(BB103&gt;=3,"Supported","Weak/inspect")))</x:f>
        <x:v>Strong multi-evidence</x:v>
      </x:c>
    </x:row>
    <x:row r="104">
      <x:c r="A104" t="str">
        <x:v>ABC</x:v>
      </x:c>
      <x:c r="B104" t="str">
        <x:v>TRINITY_DN18570_c0_g1</x:v>
      </x:c>
      <x:c r="C104" t="str">
        <x:v>no</x:v>
      </x:c>
      <x:c r="D104" t="n">
        <x:v>2</x:v>
      </x:c>
      <x:c r="E104" s="17" t="n">
        <x:v>0.083872</x:v>
      </x:c>
      <x:c r="F104" s="17" t="n">
        <x:v>0.060324</x:v>
      </x:c>
      <x:c r="G104" s="17" t="n">
        <x:v>0.053054</x:v>
      </x:c>
      <x:c r="H104" s="17" t="n">
        <x:v>0</x:v>
      </x:c>
      <x:c r="I104" s="17" t="n">
        <x:v>0.040639</x:v>
      </x:c>
      <x:c r="J104" s="17" t="n">
        <x:v>0.34459700000000004</x:v>
      </x:c>
      <x:c r="K104" s="17" t="n">
        <x:v>0.061247359999999994</x:v>
      </x:c>
      <x:c r="L104" s="17" t="n">
        <x:v>0.13363622</x:v>
      </x:c>
      <x:c r="M104" s="17" t="n">
        <x:v>0.07238886</x:v>
      </x:c>
      <x:c r="N104" s="18"/>
      <x:c r="O104" t="str">
        <x:v>TRINITY_DN18570_c0_g1_i2.p1</x:v>
      </x:c>
      <x:c r="P104" t="n">
        <x:v>150</x:v>
      </x:c>
      <x:c r="Q104" t="str">
        <x:v>review</x:v>
      </x:c>
      <x:c r="R104" t="str">
        <x:v>TMD_only_or_NBD_not_detected</x:v>
      </x:c>
      <x:c r="S104" t="str">
        <x:v>IPR011527;PF00664</x:v>
      </x:c>
      <x:c r="T104" t="str">
        <x:v>ABC transporter transmembrane region;ABC transporter type 1, transmembrane domain</x:v>
      </x:c>
      <x:c r="U104" t="str">
        <x:v>hold_ABC_fragment_review</x:v>
      </x:c>
      <x:c r="V104" t="str">
        <x:v>partial ABC architecture; requires isoform/homology inspection</x:v>
      </x:c>
      <x:c r="W104" t="str">
        <x:v>hold_for_targeted_homology_or_assembly_review</x:v>
      </x:c>
      <x:c r="X104" t="str">
        <x:v>current isoforms do not unite sufficient sequence and architecture evidence</x:v>
      </x:c>
      <x:c r="Y104" s="15" t="b">
        <x:v>1</x:v>
      </x:c>
      <x:c r="Z104" s="15" t="b">
        <x:v>0</x:v>
      </x:c>
      <x:c r="AA104" s="15" t="b">
        <x:v>1</x:v>
      </x:c>
      <x:c r="AB104" s="15" t="b">
        <x:v>0</x:v>
      </x:c>
      <x:c r="AC104" t="str">
        <x:v>Spodoptera|XP_050557326.1</x:v>
      </x:c>
      <x:c r="AD104" s="19" t="n">
        <x:v>3.22e-83</x:v>
      </x:c>
      <x:c r="AE104" t="n">
        <x:v>258</x:v>
      </x:c>
      <x:c r="AF104" t="n">
        <x:v>82.55</x:v>
      </x:c>
      <x:c r="AG104" t="n">
        <x:v>100</x:v>
      </x:c>
      <x:c r="AH104" t="n">
        <x:v>14.1905</x:v>
      </x:c>
      <x:c r="AI104" t="str">
        <x:v>sp|P21447|MDR1A_MOUSE</x:v>
      </x:c>
      <x:c r="AJ104" t="str">
        <x:v>sp|P21447|MDR1A_MOUSE ATP-dependent translocase ABCB1 OS=Mus musculus OX=10090 GN=Abcb1a PE=1 SV=3</x:v>
      </x:c>
      <x:c r="AK104" s="19" t="n">
        <x:v>1.21e-18</x:v>
      </x:c>
      <x:c r="AL104" t="n">
        <x:v>84.7</x:v>
      </x:c>
      <x:c r="AM104" t="n">
        <x:v>29.5</x:v>
      </x:c>
      <x:c r="AN104" t="n">
        <x:v>100</x:v>
      </x:c>
      <x:c r="AO104" t="n">
        <x:v>11.677115987460816</x:v>
      </x:c>
      <x:c r="AP104" t="n">
        <x:v>0</x:v>
      </x:c>
      <x:c r="AQ104" t="n">
        <x:v>0</x:v>
      </x:c>
      <x:c r="AR104" t="str">
        <x:v>ABC_C012</x:v>
      </x:c>
      <x:c r="AS104" t="n">
        <x:v>1</x:v>
      </x:c>
      <x:c r="AT104" s="17" t="n">
        <x:f>AVERAGE(E104:G104)</x:f>
        <x:v>0.06574999999999999</x:v>
      </x:c>
      <x:c r="AU104" s="17" t="n">
        <x:f>STDEV.S(E104:G104)</x:f>
        <x:v>0.016109574420201177</x:v>
      </x:c>
      <x:c r="AV104" s="17" t="n">
        <x:f>AVERAGE(H104:J104)</x:f>
        <x:v>0.128412</x:v>
      </x:c>
      <x:c r="AW104" s="17" t="n">
        <x:f>STDEV.S(H104:J104)</x:f>
        <x:v>0.1883211293216988</x:v>
      </x:c>
      <x:c r="AX104" s="17" t="n">
        <x:f>AV104-AT104</x:f>
        <x:v>0.06266200000000001</x:v>
      </x:c>
      <x:c r="AY104" s="17" t="n">
        <x:f>LOG((AV104+1)/(AT104+1),2)</x:f>
        <x:v>0.08242485803171778</x:v>
      </x:c>
      <x:c r="AZ104" s="17" t="n">
        <x:f>AVERAGE(E104:J104)</x:f>
        <x:v>0.09708100000000001</x:v>
      </x:c>
      <x:c r="BA104" s="17" t="n">
        <x:f>MAX(E104:J104)</x:f>
        <x:v>0.34459700000000004</x:v>
      </x:c>
      <x:c r="BB104" s="20" t="n">
        <x:f>IF(Q104="provisional_HQ_domain",2,0)+IF(Y104,1,0)+IF(AB104,1,0)+IF(AI104&lt;&gt;"",1,0)+IF(AP104+AQ104&gt;0,1,0)</x:f>
        <x:v>2</x:v>
      </x:c>
      <x:c r="BC104" t="str">
        <x:f>IF(OR(ISNUMBER(SEARCH("exclude",U104)),ISNUMBER(SEARCH("hold",U104)),ISNUMBER(SEARCH("hold",W104))),"Review",IF(BB104&gt;=5,"Strong multi-evidence",IF(BB104&gt;=3,"Supported","Weak/inspect")))</x:f>
        <x:v>Review</x:v>
      </x:c>
    </x:row>
    <x:row r="105">
      <x:c r="A105" t="str">
        <x:v>ABC</x:v>
      </x:c>
      <x:c r="B105" t="str">
        <x:v>TRINITY_DN20355_c0_g1</x:v>
      </x:c>
      <x:c r="C105" t="str">
        <x:v>yes</x:v>
      </x:c>
      <x:c r="D105" t="n">
        <x:v>9</x:v>
      </x:c>
      <x:c r="E105" s="17" t="n">
        <x:v>1.144471</x:v>
      </x:c>
      <x:c r="F105" s="17" t="n">
        <x:v>1.064304</x:v>
      </x:c>
      <x:c r="G105" s="17" t="n">
        <x:v>0.598611</x:v>
      </x:c>
      <x:c r="H105" s="17" t="n">
        <x:v>0.48431</x:v>
      </x:c>
      <x:c r="I105" s="17" t="n">
        <x:v>0.353588</x:v>
      </x:c>
      <x:c r="J105" s="17" t="n">
        <x:v>1.1756790000000001</x:v>
      </x:c>
      <x:c r="K105" s="17" t="n">
        <x:v>0.8848545800000001</x:v>
      </x:c>
      <x:c r="L105" s="17" t="n">
        <x:v>0.6280025200000001</x:v>
      </x:c>
      <x:c r="M105" s="17" t="n">
        <x:v>-0.25685205999999994</x:v>
      </x:c>
      <x:c r="N105" s="18" t="n">
        <x:v>0.224621983277316</x:v>
      </x:c>
      <x:c r="O105" t="str">
        <x:v>TRINITY_DN20355_c0_g1_i13.p1</x:v>
      </x:c>
      <x:c r="P105" t="n">
        <x:v>888</x:v>
      </x:c>
      <x:c r="Q105" t="str">
        <x:v>provisional_HQ_domain</x:v>
      </x:c>
      <x:c r="R105" t="str">
        <x:v>NBD_and_TMD_evidence</x:v>
      </x:c>
      <x:c r="S105" t="str">
        <x:v>IPR003439;IPR011527;PF00005;PF00664</x:v>
      </x:c>
      <x:c r="T105" t="str">
        <x:v>ABC transporter;ABC transporter transmembrane region;ABC transporter type 1, transmembrane domain;ABC transporter-like, ATP-binding domain</x:v>
      </x:c>
      <x:c r="U105"/>
      <x:c r="V105"/>
      <x:c r="W105"/>
      <x:c r="X105"/>
      <x:c r="Y105" s="15" t="b">
        <x:v>1</x:v>
      </x:c>
      <x:c r="Z105" s="15" t="b">
        <x:v>0</x:v>
      </x:c>
      <x:c r="AA105" s="15" t="b">
        <x:v>1</x:v>
      </x:c>
      <x:c r="AB105" s="15" t="b">
        <x:v>1</x:v>
      </x:c>
      <x:c r="AC105" t="str">
        <x:v>Spodoptera|XP_035436877.2</x:v>
      </x:c>
      <x:c r="AD105" s="19" t="n">
        <x:v>0</x:v>
      </x:c>
      <x:c r="AE105" t="n">
        <x:v>1570</x:v>
      </x:c>
      <x:c r="AF105" t="n">
        <x:v>84.667</x:v>
      </x:c>
      <x:c r="AG105" t="n">
        <x:v>99.8874</x:v>
      </x:c>
      <x:c r="AH105" t="n">
        <x:v>53.3694</x:v>
      </x:c>
      <x:c r="AI105" t="str">
        <x:v>sp|Q9VL32|SUR_DROME</x:v>
      </x:c>
      <x:c r="AJ105" t="str">
        <x:v>sp|Q9VL32|SUR_DROME ATP-binding cassette sub-family C member Sur OS=Drosophila melanogaster OX=7227 GN=Sur PE=1 SV=4</x:v>
      </x:c>
      <x:c r="AK105" s="19" t="n">
        <x:v>9.69e-106</x:v>
      </x:c>
      <x:c r="AL105" t="n">
        <x:v>363</x:v>
      </x:c>
      <x:c r="AM105" t="n">
        <x:v>32</x:v>
      </x:c>
      <x:c r="AN105" t="n">
        <x:v>93.69369369369369</x:v>
      </x:c>
      <x:c r="AO105" t="n">
        <x:v>38.32335329341317</x:v>
      </x:c>
      <x:c r="AP105" t="n">
        <x:v>0</x:v>
      </x:c>
      <x:c r="AQ105" t="n">
        <x:v>0</x:v>
      </x:c>
      <x:c r="AR105" t="str">
        <x:v>ABC_C001</x:v>
      </x:c>
      <x:c r="AS105" t="n">
        <x:v>11</x:v>
      </x:c>
      <x:c r="AT105" s="17" t="n">
        <x:f>AVERAGE(E105:G105)</x:f>
        <x:v>0.9357953333333334</x:v>
      </x:c>
      <x:c r="AU105" s="17" t="n">
        <x:f>STDEV.S(E105:G105)</x:f>
        <x:v>0.29474844012536067</x:v>
      </x:c>
      <x:c r="AV105" s="17" t="n">
        <x:f>AVERAGE(H105:J105)</x:f>
        <x:v>0.6711923333333334</x:v>
      </x:c>
      <x:c r="AW105" s="17" t="n">
        <x:f>STDEV.S(H105:J105)</x:f>
        <x:v>0.44176029467838485</x:v>
      </x:c>
      <x:c r="AX105" s="17" t="n">
        <x:f>AV105-AT105</x:f>
        <x:v>-0.26460300000000003</x:v>
      </x:c>
      <x:c r="AY105" s="17" t="n">
        <x:f>LOG((AV105+1)/(AT105+1),2)</x:f>
        <x:v>-0.21204864912830382</x:v>
      </x:c>
      <x:c r="AZ105" s="17" t="n">
        <x:f>AVERAGE(E105:J105)</x:f>
        <x:v>0.8034938333333335</x:v>
      </x:c>
      <x:c r="BA105" s="17" t="n">
        <x:f>MAX(E105:J105)</x:f>
        <x:v>1.1756790000000001</x:v>
      </x:c>
      <x:c r="BB105" s="20" t="n">
        <x:f>IF(Q105="provisional_HQ_domain",2,0)+IF(Y105,1,0)+IF(AB105,1,0)+IF(AI105&lt;&gt;"",1,0)+IF(AP105+AQ105&gt;0,1,0)</x:f>
        <x:v>5</x:v>
      </x:c>
      <x:c r="BC105" t="str">
        <x:f>IF(OR(ISNUMBER(SEARCH("exclude",U105)),ISNUMBER(SEARCH("hold",U105)),ISNUMBER(SEARCH("hold",W105))),"Review",IF(BB105&gt;=5,"Strong multi-evidence",IF(BB105&gt;=3,"Supported","Weak/inspect")))</x:f>
        <x:v>Strong multi-evidence</x:v>
      </x:c>
    </x:row>
    <x:row r="106">
      <x:c r="A106" t="str">
        <x:v>ABC</x:v>
      </x:c>
      <x:c r="B106" t="str">
        <x:v>TRINITY_DN21667_c0_g1</x:v>
      </x:c>
      <x:c r="C106" t="str">
        <x:v>yes</x:v>
      </x:c>
      <x:c r="D106" t="n">
        <x:v>1</x:v>
      </x:c>
      <x:c r="E106" s="17" t="n">
        <x:v>0.080968</x:v>
      </x:c>
      <x:c r="F106" s="17" t="n">
        <x:v>0.058811</x:v>
      </x:c>
      <x:c r="G106" s="17" t="n">
        <x:v>0.097957</x:v>
      </x:c>
      <x:c r="H106" s="17" t="n">
        <x:v>0.0432</x:v>
      </x:c>
      <x:c r="I106" s="17" t="n">
        <x:v>0.049934</x:v>
      </x:c>
      <x:c r="J106" s="17" t="n">
        <x:v>0.047224</x:v>
      </x:c>
      <x:c r="K106" s="17" t="n">
        <x:v>0.06660178</x:v>
      </x:c>
      <x:c r="L106" s="17" t="n">
        <x:v>0.037982106</x:v>
      </x:c>
      <x:c r="M106" s="17" t="n">
        <x:v>-0.028619673999999998</x:v>
      </x:c>
      <x:c r="N106" s="18" t="n">
        <x:v>0.761439829248961</x:v>
      </x:c>
      <x:c r="O106" t="str">
        <x:v>TRINITY_DN21667_c0_g1_i1.p1</x:v>
      </x:c>
      <x:c r="P106" t="n">
        <x:v>465</x:v>
      </x:c>
      <x:c r="Q106" t="str">
        <x:v>review</x:v>
      </x:c>
      <x:c r="R106" t="str">
        <x:v>no_family_defining_domain_in_current_core_table</x:v>
      </x:c>
      <x:c r="S106" t="str">
        <x:v>PF12698</x:v>
      </x:c>
      <x:c r="T106" t="str">
        <x:v>ABC-2 family transporter protein</x:v>
      </x:c>
      <x:c r="U106" t="str">
        <x:v>hold_ABC_historical_review</x:v>
      </x:c>
      <x:c r="V106" t="str">
        <x:v>historical candidate lacks defining domains in the current representative sequence</x:v>
      </x:c>
      <x:c r="W106" t="str">
        <x:v>retain_historical_partial_ABC</x:v>
      </x:c>
      <x:c r="X106" t="str">
        <x:v>historical support plus partial sequence-level ABC evidence</x:v>
      </x:c>
      <x:c r="Y106" s="15" t="b">
        <x:v>1</x:v>
      </x:c>
      <x:c r="Z106" s="15" t="b">
        <x:v>0</x:v>
      </x:c>
      <x:c r="AA106" s="15" t="b">
        <x:v>1</x:v>
      </x:c>
      <x:c r="AB106" s="15" t="b">
        <x:v>0</x:v>
      </x:c>
      <x:c r="AC106" t="str">
        <x:v>Spodoptera|XP_050552858.1</x:v>
      </x:c>
      <x:c r="AD106" s="19" t="n">
        <x:v>0</x:v>
      </x:c>
      <x:c r="AE106" t="n">
        <x:v>962</x:v>
      </x:c>
      <x:c r="AF106" t="n">
        <x:v>97.849</x:v>
      </x:c>
      <x:c r="AG106" t="n">
        <x:v>100</x:v>
      </x:c>
      <x:c r="AH106" t="n">
        <x:v>25.108</x:v>
      </x:c>
      <x:c r="AI106" t="str">
        <x:v>sp|Q8K448|ABCA5_MOUSE</x:v>
      </x:c>
      <x:c r="AJ106" t="str">
        <x:v>sp|Q8K448|ABCA5_MOUSE Cholesterol transporter ABCA5 OS=Mus musculus OX=10090 GN=Abca5 PE=1 SV=2</x:v>
      </x:c>
      <x:c r="AK106" s="19" t="n">
        <x:v>8.57e-38</x:v>
      </x:c>
      <x:c r="AL106" t="n">
        <x:v>150</x:v>
      </x:c>
      <x:c r="AM106" t="n">
        <x:v>29.9</x:v>
      </x:c>
      <x:c r="AN106" t="n">
        <x:v>73.33333333333333</x:v>
      </x:c>
      <x:c r="AO106" t="n">
        <x:v>20.767356881851402</x:v>
      </x:c>
      <x:c r="AP106" t="n">
        <x:v>0</x:v>
      </x:c>
      <x:c r="AQ106" t="n">
        <x:v>0</x:v>
      </x:c>
      <x:c r="AR106" t="str">
        <x:v>ABC_C013</x:v>
      </x:c>
      <x:c r="AS106" t="n">
        <x:v>1</x:v>
      </x:c>
      <x:c r="AT106" s="17" t="n">
        <x:f>AVERAGE(E106:G106)</x:f>
        <x:v>0.07924533333333333</x:v>
      </x:c>
      <x:c r="AU106" s="17" t="n">
        <x:f>STDEV.S(E106:G106)</x:f>
        <x:v>0.019629773669946716</x:v>
      </x:c>
      <x:c r="AV106" s="17" t="n">
        <x:f>AVERAGE(H106:J106)</x:f>
        <x:v>0.046785999999999994</x:v>
      </x:c>
      <x:c r="AW106" s="17" t="n">
        <x:f>STDEV.S(H106:J106)</x:f>
        <x:v>0.003388299278399119</x:v>
      </x:c>
      <x:c r="AX106" s="17" t="n">
        <x:f>AV106-AT106</x:f>
        <x:v>-0.03245933333333334</x:v>
      </x:c>
      <x:c r="AY106" s="17" t="n">
        <x:f>LOG((AV106+1)/(AT106+1),2)</x:f>
        <x:v>-0.0440563199536632</x:v>
      </x:c>
      <x:c r="AZ106" s="17" t="n">
        <x:f>AVERAGE(E106:J106)</x:f>
        <x:v>0.06301566666666666</x:v>
      </x:c>
      <x:c r="BA106" s="17" t="n">
        <x:f>MAX(E106:J106)</x:f>
        <x:v>0.097957</x:v>
      </x:c>
      <x:c r="BB106" s="20" t="n">
        <x:f>IF(Q106="provisional_HQ_domain",2,0)+IF(Y106,1,0)+IF(AB106,1,0)+IF(AI106&lt;&gt;"",1,0)+IF(AP106+AQ106&gt;0,1,0)</x:f>
        <x:v>2</x:v>
      </x:c>
      <x:c r="BC106" t="str">
        <x:f>IF(OR(ISNUMBER(SEARCH("exclude",U106)),ISNUMBER(SEARCH("hold",U106)),ISNUMBER(SEARCH("hold",W106))),"Review",IF(BB106&gt;=5,"Strong multi-evidence",IF(BB106&gt;=3,"Supported","Weak/inspect")))</x:f>
        <x:v>Review</x:v>
      </x:c>
    </x:row>
    <x:row r="107">
      <x:c r="A107" t="str">
        <x:v>ABC</x:v>
      </x:c>
      <x:c r="B107" t="str">
        <x:v>TRINITY_DN21780_c0_g1</x:v>
      </x:c>
      <x:c r="C107" t="str">
        <x:v>no</x:v>
      </x:c>
      <x:c r="D107" t="n">
        <x:v>1</x:v>
      </x:c>
      <x:c r="E107" s="17" t="n">
        <x:v>0.133043</x:v>
      </x:c>
      <x:c r="F107" s="17" t="n">
        <x:v>0.128206</x:v>
      </x:c>
      <x:c r="G107" s="17" t="n">
        <x:v>0</x:v>
      </x:c>
      <x:c r="H107" s="17" t="n">
        <x:v>0.094849</x:v>
      </x:c>
      <x:c r="I107" s="17" t="n">
        <x:v>0.047797</x:v>
      </x:c>
      <x:c r="J107" s="17" t="n">
        <x:v>0.124574</x:v>
      </x:c>
      <x:c r="K107" s="17" t="n">
        <x:v>0.08198812</x:v>
      </x:c>
      <x:c r="L107" s="17" t="n">
        <x:v>0.07758045999999999</x:v>
      </x:c>
      <x:c r="M107" s="17" t="n">
        <x:v>-0.004407660000000008</x:v>
      </x:c>
      <x:c r="N107" s="18"/>
      <x:c r="O107" t="str">
        <x:v>TRINITY_DN21780_c0_g1_i1.p1</x:v>
      </x:c>
      <x:c r="P107" t="n">
        <x:v>175</x:v>
      </x:c>
      <x:c r="Q107" t="str">
        <x:v>review</x:v>
      </x:c>
      <x:c r="R107" t="str">
        <x:v>TMD_only_or_NBD_not_detected</x:v>
      </x:c>
      <x:c r="S107" t="str">
        <x:v>IPR013525;IPR043926;PF01061;PF19055</x:v>
      </x:c>
      <x:c r="T107" t="str">
        <x:v>ABC transporter family G domain;ABC-2 type transporter</x:v>
      </x:c>
      <x:c r="U107" t="str">
        <x:v>hold_ABC_fragment_review</x:v>
      </x:c>
      <x:c r="V107" t="str">
        <x:v>partial ABC architecture; requires isoform/homology inspection</x:v>
      </x:c>
      <x:c r="W107" t="str">
        <x:v>hold_for_targeted_homology_or_assembly_review</x:v>
      </x:c>
      <x:c r="X107" t="str">
        <x:v>current isoforms do not unite sufficient sequence and architecture evidence</x:v>
      </x:c>
      <x:c r="Y107" s="15" t="b">
        <x:v>1</x:v>
      </x:c>
      <x:c r="Z107" s="15" t="b">
        <x:v>0</x:v>
      </x:c>
      <x:c r="AA107" s="15" t="b">
        <x:v>1</x:v>
      </x:c>
      <x:c r="AB107" s="15" t="b">
        <x:v>0</x:v>
      </x:c>
      <x:c r="AC107" t="str">
        <x:v>Spodoptera|XP_050561948.1</x:v>
      </x:c>
      <x:c r="AD107" s="19" t="n">
        <x:v>4.52e-114</x:v>
      </x:c>
      <x:c r="AE107" t="n">
        <x:v>331</x:v>
      </x:c>
      <x:c r="AF107" t="n">
        <x:v>87.429</x:v>
      </x:c>
      <x:c r="AG107" t="n">
        <x:v>100</x:v>
      </x:c>
      <x:c r="AH107" t="n">
        <x:v>27.9553</x:v>
      </x:c>
      <x:c r="AI107" t="str">
        <x:v>sp|D3ZCM3|ABCG4_RAT</x:v>
      </x:c>
      <x:c r="AJ107" t="str">
        <x:v>sp|D3ZCM3|ABCG4_RAT ATP-binding cassette subfamily G member 4 OS=Rattus norvegicus OX=10116 GN=Abcg4 PE=2 SV=1</x:v>
      </x:c>
      <x:c r="AK107" s="19" t="n">
        <x:v>9.35e-33</x:v>
      </x:c>
      <x:c r="AL107" t="n">
        <x:v>125</x:v>
      </x:c>
      <x:c r="AM107" t="n">
        <x:v>38.3</x:v>
      </x:c>
      <x:c r="AN107" t="n">
        <x:v>104.57142857142857</x:v>
      </x:c>
      <x:c r="AO107" t="n">
        <x:v>28.153846153846153</x:v>
      </x:c>
      <x:c r="AP107" t="n">
        <x:v>0</x:v>
      </x:c>
      <x:c r="AQ107" t="n">
        <x:v>0</x:v>
      </x:c>
      <x:c r="AR107" t="str">
        <x:v>ABC_C014</x:v>
      </x:c>
      <x:c r="AS107" t="n">
        <x:v>1</x:v>
      </x:c>
      <x:c r="AT107" s="17" t="n">
        <x:f>AVERAGE(E107:G107)</x:f>
        <x:v>0.08708299999999998</x:v>
      </x:c>
      <x:c r="AU107" s="17" t="n">
        <x:f>STDEV.S(E107:G107)</x:f>
        <x:v>0.07545485941276413</x:v>
      </x:c>
      <x:c r="AV107" s="17" t="n">
        <x:f>AVERAGE(H107:J107)</x:f>
        <x:v>0.08907333333333334</x:v>
      </x:c>
      <x:c r="AW107" s="17" t="n">
        <x:f>STDEV.S(H107:J107)</x:f>
        <x:v>0.03871299105382241</x:v>
      </x:c>
      <x:c r="AX107" s="17" t="n">
        <x:f>AV107-AT107</x:f>
        <x:v>0.001990333333333358</x:v>
      </x:c>
      <x:c r="AY107" s="17" t="n">
        <x:f>LOG((AV107+1)/(AT107+1),2)</x:f>
        <x:v>0.0026390060184533107</x:v>
      </x:c>
      <x:c r="AZ107" s="17" t="n">
        <x:f>AVERAGE(E107:J107)</x:f>
        <x:v>0.08807816666666667</x:v>
      </x:c>
      <x:c r="BA107" s="17" t="n">
        <x:f>MAX(E107:J107)</x:f>
        <x:v>0.133043</x:v>
      </x:c>
      <x:c r="BB107" s="20" t="n">
        <x:f>IF(Q107="provisional_HQ_domain",2,0)+IF(Y107,1,0)+IF(AB107,1,0)+IF(AI107&lt;&gt;"",1,0)+IF(AP107+AQ107&gt;0,1,0)</x:f>
        <x:v>2</x:v>
      </x:c>
      <x:c r="BC107" t="str">
        <x:f>IF(OR(ISNUMBER(SEARCH("exclude",U107)),ISNUMBER(SEARCH("hold",U107)),ISNUMBER(SEARCH("hold",W107))),"Review",IF(BB107&gt;=5,"Strong multi-evidence",IF(BB107&gt;=3,"Supported","Weak/inspect")))</x:f>
        <x:v>Review</x:v>
      </x:c>
    </x:row>
    <x:row r="108">
      <x:c r="A108" t="str">
        <x:v>ABC</x:v>
      </x:c>
      <x:c r="B108" t="str">
        <x:v>TRINITY_DN21780_c0_g2</x:v>
      </x:c>
      <x:c r="C108" t="str">
        <x:v>no</x:v>
      </x:c>
      <x:c r="D108" t="n">
        <x:v>1</x:v>
      </x:c>
      <x:c r="E108" s="17" t="n">
        <x:v>0.047744</x:v>
      </x:c>
      <x:c r="F108" s="17" t="n">
        <x:v>0.05965</x:v>
      </x:c>
      <x:c r="G108" s="17" t="n">
        <x:v>0</x:v>
      </x:c>
      <x:c r="H108" s="17" t="n">
        <x:v>0</x:v>
      </x:c>
      <x:c r="I108" s="17" t="n">
        <x:v>0.363663</x:v>
      </x:c>
      <x:c r="J108" s="17" t="n">
        <x:v>0</x:v>
      </x:c>
      <x:c r="K108" s="17" t="n">
        <x:v>0.0337935</x:v>
      </x:c>
      <x:c r="L108" s="17" t="n">
        <x:v>0.1312632</x:v>
      </x:c>
      <x:c r="M108" s="17" t="n">
        <x:v>0.09746969999999999</x:v>
      </x:c>
      <x:c r="N108" s="18"/>
      <x:c r="O108" t="str">
        <x:v>TRINITY_DN21780_c0_g2_i1.p1</x:v>
      </x:c>
      <x:c r="P108" t="n">
        <x:v>136</x:v>
      </x:c>
      <x:c r="Q108" t="str">
        <x:v>review</x:v>
      </x:c>
      <x:c r="R108" t="str">
        <x:v>TMD_only_or_NBD_not_detected</x:v>
      </x:c>
      <x:c r="S108" t="str">
        <x:v>IPR013525;PF01061</x:v>
      </x:c>
      <x:c r="T108" t="str">
        <x:v>ABC-2 type transporter</x:v>
      </x:c>
      <x:c r="U108" t="str">
        <x:v>hold_ABC_fragment_review</x:v>
      </x:c>
      <x:c r="V108" t="str">
        <x:v>partial ABC architecture; requires isoform/homology inspection</x:v>
      </x:c>
      <x:c r="W108" t="str">
        <x:v>hold_for_targeted_homology_or_assembly_review</x:v>
      </x:c>
      <x:c r="X108" t="str">
        <x:v>current isoforms do not unite sufficient sequence and architecture evidence</x:v>
      </x:c>
      <x:c r="Y108" s="15" t="b">
        <x:v>1</x:v>
      </x:c>
      <x:c r="Z108" s="15" t="b">
        <x:v>0</x:v>
      </x:c>
      <x:c r="AA108" s="15" t="b">
        <x:v>1</x:v>
      </x:c>
      <x:c r="AB108" s="15" t="b">
        <x:v>0</x:v>
      </x:c>
      <x:c r="AC108" t="str">
        <x:v>Spodoptera|XP_050561948.1</x:v>
      </x:c>
      <x:c r="AD108" s="19" t="n">
        <x:v>3.48e-89</x:v>
      </x:c>
      <x:c r="AE108" t="n">
        <x:v>265</x:v>
      </x:c>
      <x:c r="AF108" t="n">
        <x:v>92.647</x:v>
      </x:c>
      <x:c r="AG108" t="n">
        <x:v>100</x:v>
      </x:c>
      <x:c r="AH108" t="n">
        <x:v>21.7252</x:v>
      </x:c>
      <x:c r="AI108" t="str">
        <x:v>sp|Q9H172|ABCG4_HUMAN</x:v>
      </x:c>
      <x:c r="AJ108" t="str">
        <x:v>sp|Q9H172|ABCG4_HUMAN ATP-binding cassette sub-family G member 4 OS=Homo sapiens OX=9606 GN=ABCG4 PE=1 SV=2</x:v>
      </x:c>
      <x:c r="AK108" s="19" t="n">
        <x:v>6.6e-23</x:v>
      </x:c>
      <x:c r="AL108" t="n">
        <x:v>96.3</x:v>
      </x:c>
      <x:c r="AM108" t="n">
        <x:v>37.2</x:v>
      </x:c>
      <x:c r="AN108" t="n">
        <x:v>100.73529411764706</x:v>
      </x:c>
      <x:c r="AO108" t="n">
        <x:v>21.207430340557277</x:v>
      </x:c>
      <x:c r="AP108" t="n">
        <x:v>0</x:v>
      </x:c>
      <x:c r="AQ108" t="n">
        <x:v>0</x:v>
      </x:c>
      <x:c r="AR108" t="str">
        <x:v>ABC_C015</x:v>
      </x:c>
      <x:c r="AS108" t="n">
        <x:v>1</x:v>
      </x:c>
      <x:c r="AT108" s="17" t="n">
        <x:f>AVERAGE(E108:G108)</x:f>
        <x:v>0.035798</x:v>
      </x:c>
      <x:c r="AU108" s="17" t="n">
        <x:f>STDEV.S(E108:G108)</x:f>
        <x:v>0.03156835142987356</x:v>
      </x:c>
      <x:c r="AV108" s="17" t="n">
        <x:f>AVERAGE(H108:J108)</x:f>
        <x:v>0.12122100000000001</x:v>
      </x:c>
      <x:c r="AW108" s="17" t="n">
        <x:f>STDEV.S(H108:J108)</x:f>
        <x:v>0.20996093094430687</x:v>
      </x:c>
      <x:c r="AX108" s="17" t="n">
        <x:f>AV108-AT108</x:f>
        <x:v>0.085423</x:v>
      </x:c>
      <x:c r="AY108" s="17" t="n">
        <x:f>LOG((AV108+1)/(AT108+1),2)</x:f>
        <x:v>0.11432799289493979</x:v>
      </x:c>
      <x:c r="AZ108" s="17" t="n">
        <x:f>AVERAGE(E108:J108)</x:f>
        <x:v>0.0785095</x:v>
      </x:c>
      <x:c r="BA108" s="17" t="n">
        <x:f>MAX(E108:J108)</x:f>
        <x:v>0.363663</x:v>
      </x:c>
      <x:c r="BB108" s="20" t="n">
        <x:f>IF(Q108="provisional_HQ_domain",2,0)+IF(Y108,1,0)+IF(AB108,1,0)+IF(AI108&lt;&gt;"",1,0)+IF(AP108+AQ108&gt;0,1,0)</x:f>
        <x:v>2</x:v>
      </x:c>
      <x:c r="BC108" t="str">
        <x:f>IF(OR(ISNUMBER(SEARCH("exclude",U108)),ISNUMBER(SEARCH("hold",U108)),ISNUMBER(SEARCH("hold",W108))),"Review",IF(BB108&gt;=5,"Strong multi-evidence",IF(BB108&gt;=3,"Supported","Weak/inspect")))</x:f>
        <x:v>Review</x:v>
      </x:c>
    </x:row>
    <x:row r="109">
      <x:c r="A109" t="str">
        <x:v>ABC</x:v>
      </x:c>
      <x:c r="B109" t="str">
        <x:v>TRINITY_DN2350_c0_g1</x:v>
      </x:c>
      <x:c r="C109" t="str">
        <x:v>yes</x:v>
      </x:c>
      <x:c r="D109" t="n">
        <x:v>8</x:v>
      </x:c>
      <x:c r="E109" s="17" t="n">
        <x:v>1.00708</x:v>
      </x:c>
      <x:c r="F109" s="17" t="n">
        <x:v>6.212059</x:v>
      </x:c>
      <x:c r="G109" s="17" t="n">
        <x:v>8.373244</x:v>
      </x:c>
      <x:c r="H109" s="17" t="n">
        <x:v>8.760536</x:v>
      </x:c>
      <x:c r="I109" s="17" t="n">
        <x:v>4.265139</x:v>
      </x:c>
      <x:c r="J109" s="17" t="n">
        <x:v>0.30161899999999997</x:v>
      </x:c>
      <x:c r="K109" s="17" t="n">
        <x:v>5.176414194</x:v>
      </x:c>
      <x:c r="L109" s="17" t="n">
        <x:v>4.281127378</x:v>
      </x:c>
      <x:c r="M109" s="17" t="n">
        <x:v>-0.8952868160000005</x:v>
      </x:c>
      <x:c r="N109" s="18" t="n">
        <x:v>0.00000493218504714737</x:v>
      </x:c>
      <x:c r="O109" t="str">
        <x:v>TRINITY_DN2350_c0_g1_i14.p1</x:v>
      </x:c>
      <x:c r="P109" t="n">
        <x:v>791</x:v>
      </x:c>
      <x:c r="Q109" t="str">
        <x:v>provisional_HQ_domain</x:v>
      </x:c>
      <x:c r="R109" t="str">
        <x:v>NBD_and_TMD_evidence</x:v>
      </x:c>
      <x:c r="S109" t="str">
        <x:v>IPR003439;IPR013525;PF00005;PF01061</x:v>
      </x:c>
      <x:c r="T109" t="str">
        <x:v>ABC transporter;ABC transporter-like, ATP-binding domain;ABC-2 type transporter</x:v>
      </x:c>
      <x:c r="U109"/>
      <x:c r="V109"/>
      <x:c r="W109"/>
      <x:c r="X109"/>
      <x:c r="Y109" s="15" t="b">
        <x:v>1</x:v>
      </x:c>
      <x:c r="Z109" s="15" t="b">
        <x:v>0</x:v>
      </x:c>
      <x:c r="AA109" s="15" t="b">
        <x:v>1</x:v>
      </x:c>
      <x:c r="AB109" s="15" t="b">
        <x:v>1</x:v>
      </x:c>
      <x:c r="AC109" t="str">
        <x:v>Spodoptera|XP_050554172.1</x:v>
      </x:c>
      <x:c r="AD109" s="19" t="n">
        <x:v>0</x:v>
      </x:c>
      <x:c r="AE109" t="n">
        <x:v>1468</x:v>
      </x:c>
      <x:c r="AF109" t="n">
        <x:v>92.025</x:v>
      </x:c>
      <x:c r="AG109" t="n">
        <x:v>100</x:v>
      </x:c>
      <x:c r="AH109" t="n">
        <x:v>100</x:v>
      </x:c>
      <x:c r="AI109" t="str">
        <x:v>sp|Q55EH8|ABCGN_DICDI</x:v>
      </x:c>
      <x:c r="AJ109" t="str">
        <x:v>sp|Q55EH8|ABCGN_DICDI ABC transporter G family member 23 OS=Dictyostelium discoideum OX=44689 GN=abcG23 PE=3 SV=2</x:v>
      </x:c>
      <x:c r="AK109" s="19" t="n">
        <x:v>4.74e-84</x:v>
      </x:c>
      <x:c r="AL109" t="n">
        <x:v>285</x:v>
      </x:c>
      <x:c r="AM109" t="n">
        <x:v>29.1</x:v>
      </x:c>
      <x:c r="AN109" t="n">
        <x:v>91.0126582278481</x:v>
      </x:c>
      <x:c r="AO109" t="n">
        <x:v>102.56776034236805</x:v>
      </x:c>
      <x:c r="AP109" t="n">
        <x:v>0</x:v>
      </x:c>
      <x:c r="AQ109" t="n">
        <x:v>0</x:v>
      </x:c>
      <x:c r="AR109" t="str">
        <x:v>ABC_C005</x:v>
      </x:c>
      <x:c r="AS109" t="n">
        <x:v>3</x:v>
      </x:c>
      <x:c r="AT109" s="17" t="n">
        <x:f>AVERAGE(E109:G109)</x:f>
        <x:v>5.197461</x:v>
      </x:c>
      <x:c r="AU109" s="17" t="n">
        <x:f>STDEV.S(E109:G109)</x:f>
        <x:v>3.7864429013160885</x:v>
      </x:c>
      <x:c r="AV109" s="17" t="n">
        <x:f>AVERAGE(H109:J109)</x:f>
        <x:v>4.442431333333333</x:v>
      </x:c>
      <x:c r="AW109" s="17" t="n">
        <x:f>STDEV.S(H109:J109)</x:f>
        <x:v>4.232244514653701</x:v>
      </x:c>
      <x:c r="AX109" s="17" t="n">
        <x:f>AV109-AT109</x:f>
        <x:v>-0.7550296666666663</x:v>
      </x:c>
      <x:c r="AY109" s="17" t="n">
        <x:f>LOG((AV109+1)/(AT109+1),2)</x:f>
        <x:v>-0.18742598743075423</x:v>
      </x:c>
      <x:c r="AZ109" s="17" t="n">
        <x:f>AVERAGE(E109:J109)</x:f>
        <x:v>4.819946166666666</x:v>
      </x:c>
      <x:c r="BA109" s="17" t="n">
        <x:f>MAX(E109:J109)</x:f>
        <x:v>8.760536</x:v>
      </x:c>
      <x:c r="BB109" s="20" t="n">
        <x:f>IF(Q109="provisional_HQ_domain",2,0)+IF(Y109,1,0)+IF(AB109,1,0)+IF(AI109&lt;&gt;"",1,0)+IF(AP109+AQ109&gt;0,1,0)</x:f>
        <x:v>5</x:v>
      </x:c>
      <x:c r="BC109" t="str">
        <x:f>IF(OR(ISNUMBER(SEARCH("exclude",U109)),ISNUMBER(SEARCH("hold",U109)),ISNUMBER(SEARCH("hold",W109))),"Review",IF(BB109&gt;=5,"Strong multi-evidence",IF(BB109&gt;=3,"Supported","Weak/inspect")))</x:f>
        <x:v>Strong multi-evidence</x:v>
      </x:c>
    </x:row>
    <x:row r="110">
      <x:c r="A110" t="str">
        <x:v>ABC</x:v>
      </x:c>
      <x:c r="B110" t="str">
        <x:v>TRINITY_DN254_c0_g1</x:v>
      </x:c>
      <x:c r="C110" t="str">
        <x:v>yes</x:v>
      </x:c>
      <x:c r="D110" t="n">
        <x:v>7</x:v>
      </x:c>
      <x:c r="E110" s="17" t="n">
        <x:v>2.6885</x:v>
      </x:c>
      <x:c r="F110" s="17" t="n">
        <x:v>3.424195</x:v>
      </x:c>
      <x:c r="G110" s="17" t="n">
        <x:v>3.040273</x:v>
      </x:c>
      <x:c r="H110" s="17" t="n">
        <x:v>3.957062</x:v>
      </x:c>
      <x:c r="I110" s="17" t="n">
        <x:v>4.123938</x:v>
      </x:c>
      <x:c r="J110" s="17" t="n">
        <x:v>3.0562560000000003</x:v>
      </x:c>
      <x:c r="K110" s="17" t="n">
        <x:v>2.71088302</x:v>
      </x:c>
      <x:c r="L110" s="17" t="n">
        <x:v>3.282599874</x:v>
      </x:c>
      <x:c r="M110" s="17" t="n">
        <x:v>0.5717168540000004</x:v>
      </x:c>
      <x:c r="N110" s="18" t="n">
        <x:v>1.30545838055497e-7</x:v>
      </x:c>
      <x:c r="O110" t="str">
        <x:v>TRINITY_DN254_c0_g1_i11.p1</x:v>
      </x:c>
      <x:c r="P110" t="n">
        <x:v>1595</x:v>
      </x:c>
      <x:c r="Q110" t="str">
        <x:v>provisional_HQ_domain</x:v>
      </x:c>
      <x:c r="R110" t="str">
        <x:v>NBD_and_TMD_evidence</x:v>
      </x:c>
      <x:c r="S110" t="str">
        <x:v>IPR003439;IPR011527;PF00005;PF00664</x:v>
      </x:c>
      <x:c r="T110" t="str">
        <x:v>ABC transporter;ABC transporter transmembrane region;ABC transporter type 1, transmembrane domain;ABC transporter-like, ATP-binding domain</x:v>
      </x:c>
      <x:c r="U110"/>
      <x:c r="V110"/>
      <x:c r="W110"/>
      <x:c r="X110"/>
      <x:c r="Y110" s="15" t="b">
        <x:v>1</x:v>
      </x:c>
      <x:c r="Z110" s="15" t="b">
        <x:v>0</x:v>
      </x:c>
      <x:c r="AA110" s="15" t="b">
        <x:v>1</x:v>
      </x:c>
      <x:c r="AB110" s="15" t="b">
        <x:v>1</x:v>
      </x:c>
      <x:c r="AC110" t="str">
        <x:v>Spodoptera|XP_035433428.2</x:v>
      </x:c>
      <x:c r="AD110" s="19" t="n">
        <x:v>0</x:v>
      </x:c>
      <x:c r="AE110" t="n">
        <x:v>2797</x:v>
      </x:c>
      <x:c r="AF110" t="n">
        <x:v>88.143</x:v>
      </x:c>
      <x:c r="AG110" t="n">
        <x:v>100</x:v>
      </x:c>
      <x:c r="AH110" t="n">
        <x:v>100.063</x:v>
      </x:c>
      <x:c r="AI110" t="str">
        <x:v>sp|Q8R4P9|MRP7_MOUSE</x:v>
      </x:c>
      <x:c r="AJ110" t="str">
        <x:v>sp|Q8R4P9|MRP7_MOUSE ATP-binding cassette sub-family C member 10 OS=Mus musculus OX=10090 GN=Abcc10 PE=1 SV=1</x:v>
      </x:c>
      <x:c r="AK110" s="19" t="n">
        <x:v>2.7e-278</x:v>
      </x:c>
      <x:c r="AL110" t="n">
        <x:v>843</x:v>
      </x:c>
      <x:c r="AM110" t="n">
        <x:v>36.4</x:v>
      </x:c>
      <x:c r="AN110" t="n">
        <x:v>100.75282308657465</x:v>
      </x:c>
      <x:c r="AO110" t="n">
        <x:v>106.99533644237175</x:v>
      </x:c>
      <x:c r="AP110" t="n">
        <x:v>0</x:v>
      </x:c>
      <x:c r="AQ110" t="n">
        <x:v>0</x:v>
      </x:c>
      <x:c r="AR110" t="str">
        <x:v>ABC_C001</x:v>
      </x:c>
      <x:c r="AS110" t="n">
        <x:v>11</x:v>
      </x:c>
      <x:c r="AT110" s="17" t="n">
        <x:f>AVERAGE(E110:G110)</x:f>
        <x:v>3.0509893333333338</x:v>
      </x:c>
      <x:c r="AU110" s="17" t="n">
        <x:f>STDEV.S(E110:G110)</x:f>
        <x:v>0.36796455414391943</x:v>
      </x:c>
      <x:c r="AV110" s="17" t="n">
        <x:f>AVERAGE(H110:J110)</x:f>
        <x:v>3.7124186666666668</x:v>
      </x:c>
      <x:c r="AW110" s="17" t="n">
        <x:f>STDEV.S(H110:J110)</x:f>
        <x:v>0.5743465710608301</x:v>
      </x:c>
      <x:c r="AX110" s="17" t="n">
        <x:f>AV110-AT110</x:f>
        <x:v>0.661429333333333</x:v>
      </x:c>
      <x:c r="AY110" s="17" t="n">
        <x:f>LOG((AV110+1)/(AT110+1),2)</x:f>
        <x:v>0.21819343233548055</x:v>
      </x:c>
      <x:c r="AZ110" s="17" t="n">
        <x:f>AVERAGE(E110:J110)</x:f>
        <x:v>3.3817040000000005</x:v>
      </x:c>
      <x:c r="BA110" s="17" t="n">
        <x:f>MAX(E110:J110)</x:f>
        <x:v>4.123938</x:v>
      </x:c>
      <x:c r="BB110" s="20" t="n">
        <x:f>IF(Q110="provisional_HQ_domain",2,0)+IF(Y110,1,0)+IF(AB110,1,0)+IF(AI110&lt;&gt;"",1,0)+IF(AP110+AQ110&gt;0,1,0)</x:f>
        <x:v>5</x:v>
      </x:c>
      <x:c r="BC110" t="str">
        <x:f>IF(OR(ISNUMBER(SEARCH("exclude",U110)),ISNUMBER(SEARCH("hold",U110)),ISNUMBER(SEARCH("hold",W110))),"Review",IF(BB110&gt;=5,"Strong multi-evidence",IF(BB110&gt;=3,"Supported","Weak/inspect")))</x:f>
        <x:v>Strong multi-evidence</x:v>
      </x:c>
    </x:row>
    <x:row r="111">
      <x:c r="A111" t="str">
        <x:v>ABC</x:v>
      </x:c>
      <x:c r="B111" t="str">
        <x:v>TRINITY_DN264_c0_g1</x:v>
      </x:c>
      <x:c r="C111" t="str">
        <x:v>yes</x:v>
      </x:c>
      <x:c r="D111" t="n">
        <x:v>11</x:v>
      </x:c>
      <x:c r="E111" s="17" t="n">
        <x:v>13.159771000000001</x:v>
      </x:c>
      <x:c r="F111" s="17" t="n">
        <x:v>13.638216</x:v>
      </x:c>
      <x:c r="G111" s="17" t="n">
        <x:v>16.574191000000003</x:v>
      </x:c>
      <x:c r="H111" s="17" t="n">
        <x:v>15.504973</x:v>
      </x:c>
      <x:c r="I111" s="17" t="n">
        <x:v>34.12347</x:v>
      </x:c>
      <x:c r="J111" s="17" t="n">
        <x:v>65.343603</x:v>
      </x:c>
      <x:c r="K111" s="17" t="n">
        <x:v>14.192273</x:v>
      </x:c>
      <x:c r="L111" s="17" t="n">
        <x:v>35.96442912</x:v>
      </x:c>
      <x:c r="M111" s="17" t="n">
        <x:v>21.77215612</x:v>
      </x:c>
      <x:c r="N111" s="18" t="n">
        <x:v>0.000336459877407075</x:v>
      </x:c>
      <x:c r="O111" t="str">
        <x:v>TRINITY_DN264_c0_g1_i11.p1</x:v>
      </x:c>
      <x:c r="P111" t="n">
        <x:v>1744</x:v>
      </x:c>
      <x:c r="Q111" t="str">
        <x:v>review</x:v>
      </x:c>
      <x:c r="R111" t="str">
        <x:v>NBD_only_or_TMD_not_detected</x:v>
      </x:c>
      <x:c r="S111" t="str">
        <x:v>IPR003439;PF00005;PF12698</x:v>
      </x:c>
      <x:c r="T111" t="str">
        <x:v>ABC transporter;ABC transporter-like, ATP-binding domain;ABC-2 family transporter protein</x:v>
      </x:c>
      <x:c r="U111" t="str">
        <x:v>retain_ABC_fragment_or_partial</x:v>
      </x:c>
      <x:c r="V111" t="str">
        <x:v>historical homology plus partial ABC architecture; inspect isoforms before nomenclature</x:v>
      </x:c>
      <x:c r="W111" t="str">
        <x:v>retain_sequence_supported_ABC</x:v>
      </x:c>
      <x:c r="X111" t="str">
        <x:v>Walker A, ABC signature, and hydrophobic segments co-occur in one isoform</x:v>
      </x:c>
      <x:c r="Y111" s="15" t="b">
        <x:v>1</x:v>
      </x:c>
      <x:c r="Z111" s="15" t="b">
        <x:v>0</x:v>
      </x:c>
      <x:c r="AA111" s="15" t="b">
        <x:v>1</x:v>
      </x:c>
      <x:c r="AB111" s="15" t="b">
        <x:v>1</x:v>
      </x:c>
      <x:c r="AC111" t="str">
        <x:v>Spodoptera|XP_050560908.1</x:v>
      </x:c>
      <x:c r="AD111" s="19" t="n">
        <x:v>0</x:v>
      </x:c>
      <x:c r="AE111" t="n">
        <x:v>2828</x:v>
      </x:c>
      <x:c r="AF111" t="n">
        <x:v>78.263</x:v>
      </x:c>
      <x:c r="AG111" t="n">
        <x:v>99.7705</x:v>
      </x:c>
      <x:c r="AH111" t="n">
        <x:v>100.231</x:v>
      </x:c>
      <x:c r="AI111" t="str">
        <x:v>sp|Q99758|ABCA3_HUMAN</x:v>
      </x:c>
      <x:c r="AJ111" t="str">
        <x:v>sp|Q99758|ABCA3_HUMAN Phospholipid-transporting ATPase ABCA3 OS=Homo sapiens OX=9606 GN=ABCA3 PE=1 SV=2</x:v>
      </x:c>
      <x:c r="AK111" s="19" t="n">
        <x:v>1.05e-283</x:v>
      </x:c>
      <x:c r="AL111" t="n">
        <x:v>868</x:v>
      </x:c>
      <x:c r="AM111" t="n">
        <x:v>34.2</x:v>
      </x:c>
      <x:c r="AN111" t="n">
        <x:v>102.122776821572</x:v>
      </x:c>
      <x:c r="AO111" t="n">
        <x:v>104.46009389671362</x:v>
      </x:c>
      <x:c r="AP111" t="n">
        <x:v>0</x:v>
      </x:c>
      <x:c r="AQ111" t="n">
        <x:v>0</x:v>
      </x:c>
      <x:c r="AR111" t="str">
        <x:v>ABC_C004</x:v>
      </x:c>
      <x:c r="AS111" t="n">
        <x:v>3</x:v>
      </x:c>
      <x:c r="AT111" s="17" t="n">
        <x:f>AVERAGE(E111:G111)</x:f>
        <x:v>14.457392666666669</x:v>
      </x:c>
      <x:c r="AU111" s="17" t="n">
        <x:f>STDEV.S(E111:G111)</x:f>
        <x:v>1.8487438417769881</x:v>
      </x:c>
      <x:c r="AV111" s="17" t="n">
        <x:f>AVERAGE(H111:J111)</x:f>
        <x:v>38.324015333333335</x:v>
      </x:c>
      <x:c r="AW111" s="17" t="n">
        <x:f>STDEV.S(H111:J111)</x:f>
        <x:v>25.18344090652162</x:v>
      </x:c>
      <x:c r="AX111" s="17" t="n">
        <x:f>AV111-AT111</x:f>
        <x:v>23.866622666666665</x:v>
      </x:c>
      <x:c r="AY111" s="17" t="n">
        <x:f>LOG((AV111+1)/(AT111+1),2)</x:f>
        <x:v>1.3471136534341805</x:v>
      </x:c>
      <x:c r="AZ111" s="17" t="n">
        <x:f>AVERAGE(E111:J111)</x:f>
        <x:v>26.390704</x:v>
      </x:c>
      <x:c r="BA111" s="17" t="n">
        <x:f>MAX(E111:J111)</x:f>
        <x:v>65.343603</x:v>
      </x:c>
      <x:c r="BB111" s="20" t="n">
        <x:f>IF(Q111="provisional_HQ_domain",2,0)+IF(Y111,1,0)+IF(AB111,1,0)+IF(AI111&lt;&gt;"",1,0)+IF(AP111+AQ111&gt;0,1,0)</x:f>
        <x:v>3</x:v>
      </x:c>
      <x:c r="BC111" t="str">
        <x:f>IF(OR(ISNUMBER(SEARCH("exclude",U111)),ISNUMBER(SEARCH("hold",U111)),ISNUMBER(SEARCH("hold",W111))),"Review",IF(BB111&gt;=5,"Strong multi-evidence",IF(BB111&gt;=3,"Supported","Weak/inspect")))</x:f>
        <x:v>Supported</x:v>
      </x:c>
    </x:row>
    <x:row r="112">
      <x:c r="A112" t="str">
        <x:v>ABC</x:v>
      </x:c>
      <x:c r="B112" t="str">
        <x:v>TRINITY_DN30_c14_g1</x:v>
      </x:c>
      <x:c r="C112" t="str">
        <x:v>yes</x:v>
      </x:c>
      <x:c r="D112" t="n">
        <x:v>3</x:v>
      </x:c>
      <x:c r="E112" s="17" t="n">
        <x:v>10.414166</x:v>
      </x:c>
      <x:c r="F112" s="17" t="n">
        <x:v>15.869789</x:v>
      </x:c>
      <x:c r="G112" s="17" t="n">
        <x:v>13.090997999999999</x:v>
      </x:c>
      <x:c r="H112" s="17" t="n">
        <x:v>14.701672</x:v>
      </x:c>
      <x:c r="I112" s="17" t="n">
        <x:v>19.9938</x:v>
      </x:c>
      <x:c r="J112" s="17" t="n">
        <x:v>27.261679</x:v>
      </x:c>
      <x:c r="K112" s="17" t="n">
        <x:v>11.0628742</x:v>
      </x:c>
      <x:c r="L112" s="17" t="n">
        <x:v>17.7328858</x:v>
      </x:c>
      <x:c r="M112" s="17" t="n">
        <x:v>6.670011599999999</x:v>
      </x:c>
      <x:c r="N112" s="18" t="n">
        <x:v>0.480984121380506</x:v>
      </x:c>
      <x:c r="O112" t="str">
        <x:v>TRINITY_DN30_c14_g1_i4.p1</x:v>
      </x:c>
      <x:c r="P112" t="n">
        <x:v>669</x:v>
      </x:c>
      <x:c r="Q112" t="str">
        <x:v>provisional_HQ_domain</x:v>
      </x:c>
      <x:c r="R112" t="str">
        <x:v>NBD_and_TMD_evidence</x:v>
      </x:c>
      <x:c r="S112" t="str">
        <x:v>IPR003439;IPR011527;PF00005;PF06472</x:v>
      </x:c>
      <x:c r="T112" t="str">
        <x:v>ABC transporter;ABC transporter transmembrane region 2;ABC transporter type 1, transmembrane domain;ABC transporter-like, ATP-binding domain</x:v>
      </x:c>
      <x:c r="U112"/>
      <x:c r="V112"/>
      <x:c r="W112"/>
      <x:c r="X112"/>
      <x:c r="Y112" s="15" t="b">
        <x:v>1</x:v>
      </x:c>
      <x:c r="Z112" s="15" t="b">
        <x:v>0</x:v>
      </x:c>
      <x:c r="AA112" s="15" t="b">
        <x:v>1</x:v>
      </x:c>
      <x:c r="AB112" s="15" t="b">
        <x:v>1</x:v>
      </x:c>
      <x:c r="AC112" t="str">
        <x:v>Bmori|XP_037874940.1</x:v>
      </x:c>
      <x:c r="AD112" s="19" t="n">
        <x:v>0</x:v>
      </x:c>
      <x:c r="AE112" t="n">
        <x:v>1210</x:v>
      </x:c>
      <x:c r="AF112" t="n">
        <x:v>85.329</x:v>
      </x:c>
      <x:c r="AG112" t="n">
        <x:v>100</x:v>
      </x:c>
      <x:c r="AH112" t="n">
        <x:v>100.15</x:v>
      </x:c>
      <x:c r="AI112" t="str">
        <x:v>sp|P55096|ABCD3_MOUSE</x:v>
      </x:c>
      <x:c r="AJ112" t="str">
        <x:v>sp|P55096|ABCD3_MOUSE ATP-binding cassette sub-family D member 3 OS=Mus musculus OX=10090 GN=Abcd3 PE=1 SV=2</x:v>
      </x:c>
      <x:c r="AK112" s="19" t="n">
        <x:v>3.56e-267</x:v>
      </x:c>
      <x:c r="AL112" t="n">
        <x:v>751</x:v>
      </x:c>
      <x:c r="AM112" t="n">
        <x:v>60.2</x:v>
      </x:c>
      <x:c r="AN112" t="n">
        <x:v>91.46706586826348</x:v>
      </x:c>
      <x:c r="AO112" t="n">
        <x:v>92.71623672230652</x:v>
      </x:c>
      <x:c r="AP112" t="n">
        <x:v>0</x:v>
      </x:c>
      <x:c r="AQ112" t="n">
        <x:v>0</x:v>
      </x:c>
      <x:c r="AR112" t="str">
        <x:v>ABC_C006</x:v>
      </x:c>
      <x:c r="AS112" t="n">
        <x:v>2</x:v>
      </x:c>
      <x:c r="AT112" s="17" t="n">
        <x:f>AVERAGE(E112:G112)</x:f>
        <x:v>13.124984333333332</x:v>
      </x:c>
      <x:c r="AU112" s="17" t="n">
        <x:f>STDEV.S(E112:G112)</x:f>
        <x:v>2.727970286251728</x:v>
      </x:c>
      <x:c r="AV112" s="17" t="n">
        <x:f>AVERAGE(H112:J112)</x:f>
        <x:v>20.65238366666667</x:v>
      </x:c>
      <x:c r="AW112" s="17" t="n">
        <x:f>STDEV.S(H112:J112)</x:f>
        <x:v>6.305849926418511</x:v>
      </x:c>
      <x:c r="AX112" s="17" t="n">
        <x:f>AV112-AT112</x:f>
        <x:v>7.527399333333337</x:v>
      </x:c>
      <x:c r="AY112" s="17" t="n">
        <x:f>LOG((AV112+1)/(AT112+1),2)</x:f>
        <x:v>0.6162765896739056</x:v>
      </x:c>
      <x:c r="AZ112" s="17" t="n">
        <x:f>AVERAGE(E112:J112)</x:f>
        <x:v>16.888684</x:v>
      </x:c>
      <x:c r="BA112" s="17" t="n">
        <x:f>MAX(E112:J112)</x:f>
        <x:v>27.261679</x:v>
      </x:c>
      <x:c r="BB112" s="20" t="n">
        <x:f>IF(Q112="provisional_HQ_domain",2,0)+IF(Y112,1,0)+IF(AB112,1,0)+IF(AI112&lt;&gt;"",1,0)+IF(AP112+AQ112&gt;0,1,0)</x:f>
        <x:v>5</x:v>
      </x:c>
      <x:c r="BC112" t="str">
        <x:f>IF(OR(ISNUMBER(SEARCH("exclude",U112)),ISNUMBER(SEARCH("hold",U112)),ISNUMBER(SEARCH("hold",W112))),"Review",IF(BB112&gt;=5,"Strong multi-evidence",IF(BB112&gt;=3,"Supported","Weak/inspect")))</x:f>
        <x:v>Strong multi-evidence</x:v>
      </x:c>
    </x:row>
    <x:row r="113">
      <x:c r="A113" t="str">
        <x:v>ABC</x:v>
      </x:c>
      <x:c r="B113" t="str">
        <x:v>TRINITY_DN332_c0_g1</x:v>
      </x:c>
      <x:c r="C113" t="str">
        <x:v>yes</x:v>
      </x:c>
      <x:c r="D113" t="n">
        <x:v>3</x:v>
      </x:c>
      <x:c r="E113" s="17" t="n">
        <x:v>9.644035</x:v>
      </x:c>
      <x:c r="F113" s="17" t="n">
        <x:v>13.667025</x:v>
      </x:c>
      <x:c r="G113" s="17" t="n">
        <x:v>13.294213</x:v>
      </x:c>
      <x:c r="H113" s="17" t="n">
        <x:v>10.368015</x:v>
      </x:c>
      <x:c r="I113" s="17" t="n">
        <x:v>10.612119999999999</x:v>
      </x:c>
      <x:c r="J113" s="17" t="n">
        <x:v>15.655002</x:v>
      </x:c>
      <x:c r="K113" s="17" t="n">
        <x:v>10.197529</x:v>
      </x:c>
      <x:c r="L113" s="17" t="n">
        <x:v>10.536648</x:v>
      </x:c>
      <x:c r="M113" s="17" t="n">
        <x:v>0.33911900000000017</x:v>
      </x:c>
      <x:c r="N113" s="18" t="n">
        <x:v>0.999999010765626</x:v>
      </x:c>
      <x:c r="O113" t="str">
        <x:v>TRINITY_DN332_c0_g1_i5.p1</x:v>
      </x:c>
      <x:c r="P113" t="n">
        <x:v>698</x:v>
      </x:c>
      <x:c r="Q113" t="str">
        <x:v>provisional_HQ_domain</x:v>
      </x:c>
      <x:c r="R113" t="str">
        <x:v>NBD_and_TMD_evidence</x:v>
      </x:c>
      <x:c r="S113" t="str">
        <x:v>IPR003439;IPR013525;PF00005;PF01061</x:v>
      </x:c>
      <x:c r="T113" t="str">
        <x:v>ABC transporter;ABC transporter-like, ATP-binding domain;ABC-2 type transporter</x:v>
      </x:c>
      <x:c r="U113"/>
      <x:c r="V113"/>
      <x:c r="W113"/>
      <x:c r="X113"/>
      <x:c r="Y113" s="15" t="b">
        <x:v>1</x:v>
      </x:c>
      <x:c r="Z113" s="15" t="b">
        <x:v>0</x:v>
      </x:c>
      <x:c r="AA113" s="15" t="b">
        <x:v>1</x:v>
      </x:c>
      <x:c r="AB113" s="15" t="b">
        <x:v>1</x:v>
      </x:c>
      <x:c r="AC113" t="str">
        <x:v>Spodoptera|XP_035433541.1</x:v>
      </x:c>
      <x:c r="AD113" s="19" t="n">
        <x:v>0</x:v>
      </x:c>
      <x:c r="AE113" t="n">
        <x:v>1374</x:v>
      </x:c>
      <x:c r="AF113" t="n">
        <x:v>95.415</x:v>
      </x:c>
      <x:c r="AG113" t="n">
        <x:v>100.143</x:v>
      </x:c>
      <x:c r="AH113" t="n">
        <x:v>100</x:v>
      </x:c>
      <x:c r="AI113" t="str">
        <x:v>sp|P45844|ABCG1_HUMAN</x:v>
      </x:c>
      <x:c r="AJ113" t="str">
        <x:v>sp|P45844|ABCG1_HUMAN ATP-binding cassette sub-family G member 1 OS=Homo sapiens OX=9606 GN=ABCG1 PE=1 SV=3</x:v>
      </x:c>
      <x:c r="AK113" s="19" t="n">
        <x:v>1.61e-190</x:v>
      </x:c>
      <x:c r="AL113" t="n">
        <x:v>558</x:v>
      </x:c>
      <x:c r="AM113" t="n">
        <x:v>48.3</x:v>
      </x:c>
      <x:c r="AN113" t="n">
        <x:v>96.55667144906744</x:v>
      </x:c>
      <x:c r="AO113" t="n">
        <x:v>99.26253687315634</x:v>
      </x:c>
      <x:c r="AP113" t="n">
        <x:v>0</x:v>
      </x:c>
      <x:c r="AQ113" t="n">
        <x:v>0</x:v>
      </x:c>
      <x:c r="AR113" t="str">
        <x:v>ABC_C002</x:v>
      </x:c>
      <x:c r="AS113" t="n">
        <x:v>8</x:v>
      </x:c>
      <x:c r="AT113" s="17" t="n">
        <x:f>AVERAGE(E113:G113)</x:f>
        <x:v>12.201757666666666</x:v>
      </x:c>
      <x:c r="AU113" s="17" t="n">
        <x:f>STDEV.S(E113:G113)</x:f>
        <x:v>2.2228823915181235</x:v>
      </x:c>
      <x:c r="AV113" s="17" t="n">
        <x:f>AVERAGE(H113:J113)</x:f>
        <x:v>12.211712333333333</x:v>
      </x:c>
      <x:c r="AW113" s="17" t="n">
        <x:f>STDEV.S(H113:J113)</x:f>
        <x:v>2.98447308736171</x:v>
      </x:c>
      <x:c r="AX113" s="17" t="n">
        <x:f>AV113-AT113</x:f>
        <x:v>0.009954666666667222</x:v>
      </x:c>
      <x:c r="AY113" s="17" t="n">
        <x:f>LOG((AV113+1)/(AT113+1),2)</x:f>
        <x:v>0.0010874412876205053</x:v>
      </x:c>
      <x:c r="AZ113" s="17" t="n">
        <x:f>AVERAGE(E113:J113)</x:f>
        <x:v>12.206735</x:v>
      </x:c>
      <x:c r="BA113" s="17" t="n">
        <x:f>MAX(E113:J113)</x:f>
        <x:v>15.655002</x:v>
      </x:c>
      <x:c r="BB113" s="20" t="n">
        <x:f>IF(Q113="provisional_HQ_domain",2,0)+IF(Y113,1,0)+IF(AB113,1,0)+IF(AI113&lt;&gt;"",1,0)+IF(AP113+AQ113&gt;0,1,0)</x:f>
        <x:v>5</x:v>
      </x:c>
      <x:c r="BC113" t="str">
        <x:f>IF(OR(ISNUMBER(SEARCH("exclude",U113)),ISNUMBER(SEARCH("hold",U113)),ISNUMBER(SEARCH("hold",W113))),"Review",IF(BB113&gt;=5,"Strong multi-evidence",IF(BB113&gt;=3,"Supported","Weak/inspect")))</x:f>
        <x:v>Strong multi-evidence</x:v>
      </x:c>
    </x:row>
    <x:row r="114">
      <x:c r="A114" t="str">
        <x:v>ABC</x:v>
      </x:c>
      <x:c r="B114" t="str">
        <x:v>TRINITY_DN33353_c0_g1</x:v>
      </x:c>
      <x:c r="C114" t="str">
        <x:v>yes</x:v>
      </x:c>
      <x:c r="D114" t="n">
        <x:v>8</x:v>
      </x:c>
      <x:c r="E114" s="17" t="n">
        <x:v>5.329509</x:v>
      </x:c>
      <x:c r="F114" s="17" t="n">
        <x:v>9.461519000000001</x:v>
      </x:c>
      <x:c r="G114" s="17" t="n">
        <x:v>3.58994</x:v>
      </x:c>
      <x:c r="H114" s="17" t="n">
        <x:v>8.473355</x:v>
      </x:c>
      <x:c r="I114" s="17" t="n">
        <x:v>10.226851</x:v>
      </x:c>
      <x:c r="J114" s="17" t="n">
        <x:v>8.011502</x:v>
      </x:c>
      <x:c r="K114" s="17" t="n">
        <x:v>5.40826592</x:v>
      </x:c>
      <x:c r="L114" s="17" t="n">
        <x:v>7.4849613</x:v>
      </x:c>
      <x:c r="M114" s="17" t="n">
        <x:v>2.0766953800000003</x:v>
      </x:c>
      <x:c r="N114" s="18" t="n">
        <x:v>0.0169752893457939</x:v>
      </x:c>
      <x:c r="O114" t="str">
        <x:v>TRINITY_DN33353_c0_g1_i3.p1</x:v>
      </x:c>
      <x:c r="P114" t="n">
        <x:v>849</x:v>
      </x:c>
      <x:c r="Q114" t="str">
        <x:v>provisional_HQ_domain</x:v>
      </x:c>
      <x:c r="R114" t="str">
        <x:v>NBD_and_TMD_evidence</x:v>
      </x:c>
      <x:c r="S114" t="str">
        <x:v>IPR003439;IPR011527;IPR032410;PF00005;PF00664;PF16185</x:v>
      </x:c>
      <x:c r="T114" t="str">
        <x:v>ABC transporter;ABC transporter transmembrane region;ABC transporter type 1, transmembrane domain;ABC transporter-like, ATP-binding domain;Mitochondrial ABC-transporter N-terminal five TM region;Mitochondrial ABC-transporter, N-terminal five TM domain</x:v>
      </x:c>
      <x:c r="U114"/>
      <x:c r="V114"/>
      <x:c r="W114"/>
      <x:c r="X114"/>
      <x:c r="Y114" s="15" t="b">
        <x:v>1</x:v>
      </x:c>
      <x:c r="Z114" s="15" t="b">
        <x:v>0</x:v>
      </x:c>
      <x:c r="AA114" s="15" t="b">
        <x:v>1</x:v>
      </x:c>
      <x:c r="AB114" s="15" t="b">
        <x:v>1</x:v>
      </x:c>
      <x:c r="AC114" t="str">
        <x:v>Spodoptera|XP_035439505.2</x:v>
      </x:c>
      <x:c r="AD114" s="19" t="n">
        <x:v>0</x:v>
      </x:c>
      <x:c r="AE114" t="n">
        <x:v>1526</x:v>
      </x:c>
      <x:c r="AF114" t="n">
        <x:v>89.988</x:v>
      </x:c>
      <x:c r="AG114" t="n">
        <x:v>98.9387</x:v>
      </x:c>
      <x:c r="AH114" t="n">
        <x:v>98.9387</x:v>
      </x:c>
      <x:c r="AI114" t="str">
        <x:v>sp|Q08D64|ABCB6_XENTR</x:v>
      </x:c>
      <x:c r="AJ114" t="str">
        <x:v>sp|Q08D64|ABCB6_XENTR ATP-binding cassette sub-family B member 6 OS=Xenopus tropicalis OX=8364 GN=abcb6 PE=2 SV=1</x:v>
      </x:c>
      <x:c r="AK114" s="19" t="n">
        <x:v>2.71e-291</x:v>
      </x:c>
      <x:c r="AL114" t="n">
        <x:v>827</x:v>
      </x:c>
      <x:c r="AM114" t="n">
        <x:v>53.4</x:v>
      </x:c>
      <x:c r="AN114" t="n">
        <x:v>96.4622641509434</x:v>
      </x:c>
      <x:c r="AO114" t="n">
        <x:v>96.34864546525324</x:v>
      </x:c>
      <x:c r="AP114" t="n">
        <x:v>0</x:v>
      </x:c>
      <x:c r="AQ114" t="n">
        <x:v>0</x:v>
      </x:c>
      <x:c r="AR114" t="str">
        <x:v>ABC_C003</x:v>
      </x:c>
      <x:c r="AS114" t="n">
        <x:v>6</x:v>
      </x:c>
      <x:c r="AT114" s="17" t="n">
        <x:f>AVERAGE(E114:G114)</x:f>
        <x:v>6.126989333333333</x:v>
      </x:c>
      <x:c r="AU114" s="17" t="n">
        <x:f>STDEV.S(E114:G114)</x:f>
        <x:v>3.015931224323648</x:v>
      </x:c>
      <x:c r="AV114" s="17" t="n">
        <x:f>AVERAGE(H114:J114)</x:f>
        <x:v>8.903902666666667</x:v>
      </x:c>
      <x:c r="AW114" s="17" t="n">
        <x:f>STDEV.S(H114:J114)</x:f>
        <x:v>1.1687477349301403</x:v>
      </x:c>
      <x:c r="AX114" s="17" t="n">
        <x:f>AV114-AT114</x:f>
        <x:v>2.776913333333334</x:v>
      </x:c>
      <x:c r="AY114" s="17" t="n">
        <x:f>LOG((AV114+1)/(AT114+1),2)</x:f>
        <x:v>0.47470437099143004</x:v>
      </x:c>
      <x:c r="AZ114" s="17" t="n">
        <x:f>AVERAGE(E114:J114)</x:f>
        <x:v>7.515446000000001</x:v>
      </x:c>
      <x:c r="BA114" s="17" t="n">
        <x:f>MAX(E114:J114)</x:f>
        <x:v>10.226851</x:v>
      </x:c>
      <x:c r="BB114" s="20" t="n">
        <x:f>IF(Q114="provisional_HQ_domain",2,0)+IF(Y114,1,0)+IF(AB114,1,0)+IF(AI114&lt;&gt;"",1,0)+IF(AP114+AQ114&gt;0,1,0)</x:f>
        <x:v>5</x:v>
      </x:c>
      <x:c r="BC114" t="str">
        <x:f>IF(OR(ISNUMBER(SEARCH("exclude",U114)),ISNUMBER(SEARCH("hold",U114)),ISNUMBER(SEARCH("hold",W114))),"Review",IF(BB114&gt;=5,"Strong multi-evidence",IF(BB114&gt;=3,"Supported","Weak/inspect")))</x:f>
        <x:v>Strong multi-evidence</x:v>
      </x:c>
    </x:row>
    <x:row r="115">
      <x:c r="A115" t="str">
        <x:v>ABC</x:v>
      </x:c>
      <x:c r="B115" t="str">
        <x:v>TRINITY_DN33832_c0_g1</x:v>
      </x:c>
      <x:c r="C115" t="str">
        <x:v>yes</x:v>
      </x:c>
      <x:c r="D115" t="n">
        <x:v>6</x:v>
      </x:c>
      <x:c r="E115" s="17" t="n">
        <x:v>0.091484</x:v>
      </x:c>
      <x:c r="F115" s="17" t="n">
        <x:v>0.207676</x:v>
      </x:c>
      <x:c r="G115" s="17" t="n">
        <x:v>0.20251</x:v>
      </x:c>
      <x:c r="H115" s="17" t="n">
        <x:v>0.473426</x:v>
      </x:c>
      <x:c r="I115" s="17" t="n">
        <x:v>0.166966</x:v>
      </x:c>
      <x:c r="J115" s="17" t="n">
        <x:v>0.236956</x:v>
      </x:c>
      <x:c r="K115" s="17" t="n">
        <x:v>0.16219754</x:v>
      </x:c>
      <x:c r="L115" s="17" t="n">
        <x:v>0.2851126</x:v>
      </x:c>
      <x:c r="M115" s="17" t="n">
        <x:v>0.12291505999999999</x:v>
      </x:c>
      <x:c r="N115" s="18" t="n">
        <x:v>0.889216884527698</x:v>
      </x:c>
      <x:c r="O115" t="str">
        <x:v>TRINITY_DN33832_c0_g1_i10.p1</x:v>
      </x:c>
      <x:c r="P115" t="n">
        <x:v>1697</x:v>
      </x:c>
      <x:c r="Q115" t="str">
        <x:v>review</x:v>
      </x:c>
      <x:c r="R115" t="str">
        <x:v>NBD_only_or_TMD_not_detected</x:v>
      </x:c>
      <x:c r="S115" t="str">
        <x:v>IPR003439;PF00005;PF12698</x:v>
      </x:c>
      <x:c r="T115" t="str">
        <x:v>ABC transporter;ABC transporter-like, ATP-binding domain;ABC-2 family transporter protein</x:v>
      </x:c>
      <x:c r="U115" t="str">
        <x:v>retain_ABC_fragment_or_partial</x:v>
      </x:c>
      <x:c r="V115" t="str">
        <x:v>historical homology plus partial ABC architecture; inspect isoforms before nomenclature</x:v>
      </x:c>
      <x:c r="W115" t="str">
        <x:v>retain_sequence_supported_ABC</x:v>
      </x:c>
      <x:c r="X115" t="str">
        <x:v>Walker A, ABC signature, and hydrophobic segments co-occur in one isoform</x:v>
      </x:c>
      <x:c r="Y115" s="15" t="b">
        <x:v>1</x:v>
      </x:c>
      <x:c r="Z115" s="15" t="b">
        <x:v>0</x:v>
      </x:c>
      <x:c r="AA115" s="15" t="b">
        <x:v>1</x:v>
      </x:c>
      <x:c r="AB115" s="15" t="b">
        <x:v>1</x:v>
      </x:c>
      <x:c r="AC115" t="str">
        <x:v>Spodoptera|XP_035432403.2</x:v>
      </x:c>
      <x:c r="AD115" s="19" t="n">
        <x:v>0</x:v>
      </x:c>
      <x:c r="AE115" t="n">
        <x:v>3108</x:v>
      </x:c>
      <x:c r="AF115" t="n">
        <x:v>87.353</x:v>
      </x:c>
      <x:c r="AG115" t="n">
        <x:v>100.236</x:v>
      </x:c>
      <x:c r="AH115" t="n">
        <x:v>100.059</x:v>
      </x:c>
      <x:c r="AI115" t="str">
        <x:v>sp|Q99758|ABCA3_HUMAN</x:v>
      </x:c>
      <x:c r="AJ115" t="str">
        <x:v>sp|Q99758|ABCA3_HUMAN Phospholipid-transporting ATPase ABCA3 OS=Homo sapiens OX=9606 GN=ABCA3 PE=1 SV=2</x:v>
      </x:c>
      <x:c r="AK115" s="19" t="n">
        <x:v>6.3e-310</x:v>
      </x:c>
      <x:c r="AL115" t="n">
        <x:v>935</x:v>
      </x:c>
      <x:c r="AM115" t="n">
        <x:v>35.5</x:v>
      </x:c>
      <x:c r="AN115" t="n">
        <x:v>103.24292452830188</x:v>
      </x:c>
      <x:c r="AO115" t="n">
        <x:v>102.75821596244131</x:v>
      </x:c>
      <x:c r="AP115" t="n">
        <x:v>0</x:v>
      </x:c>
      <x:c r="AQ115" t="n">
        <x:v>0</x:v>
      </x:c>
      <x:c r="AR115" t="str">
        <x:v>ABC_C004</x:v>
      </x:c>
      <x:c r="AS115" t="n">
        <x:v>3</x:v>
      </x:c>
      <x:c r="AT115" s="17" t="n">
        <x:f>AVERAGE(E115:G115)</x:f>
        <x:v>0.1672233333333333</x:v>
      </x:c>
      <x:c r="AU115" s="17" t="n">
        <x:f>STDEV.S(E115:G115)</x:f>
        <x:v>0.06564302590019243</x:v>
      </x:c>
      <x:c r="AV115" s="17" t="n">
        <x:f>AVERAGE(H115:J115)</x:f>
        <x:v>0.29244933333333334</x:v>
      </x:c>
      <x:c r="AW115" s="17" t="n">
        <x:f>STDEV.S(H115:J115)</x:f>
        <x:v>0.16058974261556475</x:v>
      </x:c>
      <x:c r="AX115" s="17" t="n">
        <x:f>AV115-AT115</x:f>
        <x:v>0.12522600000000003</x:v>
      </x:c>
      <x:c r="AY115" s="17" t="n">
        <x:f>LOG((AV115+1)/(AT115+1),2)</x:f>
        <x:v>0.14702709624530078</x:v>
      </x:c>
      <x:c r="AZ115" s="17" t="n">
        <x:f>AVERAGE(E115:J115)</x:f>
        <x:v>0.2298363333333333</x:v>
      </x:c>
      <x:c r="BA115" s="17" t="n">
        <x:f>MAX(E115:J115)</x:f>
        <x:v>0.473426</x:v>
      </x:c>
      <x:c r="BB115" s="20" t="n">
        <x:f>IF(Q115="provisional_HQ_domain",2,0)+IF(Y115,1,0)+IF(AB115,1,0)+IF(AI115&lt;&gt;"",1,0)+IF(AP115+AQ115&gt;0,1,0)</x:f>
        <x:v>3</x:v>
      </x:c>
      <x:c r="BC115" t="str">
        <x:f>IF(OR(ISNUMBER(SEARCH("exclude",U115)),ISNUMBER(SEARCH("hold",U115)),ISNUMBER(SEARCH("hold",W115))),"Review",IF(BB115&gt;=5,"Strong multi-evidence",IF(BB115&gt;=3,"Supported","Weak/inspect")))</x:f>
        <x:v>Supported</x:v>
      </x:c>
    </x:row>
    <x:row r="116">
      <x:c r="A116" t="str">
        <x:v>ABC</x:v>
      </x:c>
      <x:c r="B116" t="str">
        <x:v>TRINITY_DN35371_c0_g1</x:v>
      </x:c>
      <x:c r="C116" t="str">
        <x:v>no</x:v>
      </x:c>
      <x:c r="D116" t="n">
        <x:v>1</x:v>
      </x:c>
      <x:c r="E116" s="17" t="n">
        <x:v>0</x:v>
      </x:c>
      <x:c r="F116" s="17" t="n">
        <x:v>0.19364</x:v>
      </x:c>
      <x:c r="G116" s="17" t="n">
        <x:v>0.11149</x:v>
      </x:c>
      <x:c r="H116" s="17" t="n">
        <x:v>0.078711</x:v>
      </x:c>
      <x:c r="I116" s="17" t="n">
        <x:v>0</x:v>
      </x:c>
      <x:c r="J116" s="17" t="n">
        <x:v>0</x:v>
      </x:c>
      <x:c r="K116" s="17" t="n">
        <x:v>0.09723902</x:v>
      </x:c>
      <x:c r="L116" s="17" t="n">
        <x:v>0.02841054</x:v>
      </x:c>
      <x:c r="M116" s="17" t="n">
        <x:v>-0.06882848</x:v>
      </x:c>
      <x:c r="N116" s="18"/>
      <x:c r="O116" t="str">
        <x:v>TRINITY_DN35371_c0_g1_i1.p1</x:v>
      </x:c>
      <x:c r="P116" t="n">
        <x:v>120</x:v>
      </x:c>
      <x:c r="Q116" t="str">
        <x:v>review</x:v>
      </x:c>
      <x:c r="R116" t="str">
        <x:v>no_family_defining_domain_in_current_core_table</x:v>
      </x:c>
      <x:c r="S116" t="str">
        <x:v>none</x:v>
      </x:c>
      <x:c r="T116" t="str">
        <x:v>none</x:v>
      </x:c>
      <x:c r="U116" t="str">
        <x:v>exclude_from_current_ABC_rough_set</x:v>
      </x:c>
      <x:c r="V116" t="str">
        <x:v>no defining ABC domain in the current core table and no historical support</x:v>
      </x:c>
      <x:c r="W116"/>
      <x:c r="X116"/>
      <x:c r="Y116" s="15" t="b">
        <x:v>0</x:v>
      </x:c>
      <x:c r="Z116" s="15" t="b">
        <x:v>0</x:v>
      </x:c>
      <x:c r="AA116" s="15" t="b">
        <x:v>1</x:v>
      </x:c>
      <x:c r="AB116" s="15" t="b">
        <x:v>0</x:v>
      </x:c>
      <x:c r="AC116" t="str">
        <x:v>Spodoptera|XP_050552858.1</x:v>
      </x:c>
      <x:c r="AD116" s="19" t="n">
        <x:v>4.28e-76</x:v>
      </x:c>
      <x:c r="AE116" t="n">
        <x:v>238</x:v>
      </x:c>
      <x:c r="AF116" t="n">
        <x:v>97.5</x:v>
      </x:c>
      <x:c r="AG116" t="n">
        <x:v>100</x:v>
      </x:c>
      <x:c r="AH116" t="n">
        <x:v>6.47948</x:v>
      </x:c>
      <x:c r="AI116" t="str">
        <x:v>sp|Q8K448|ABCA5_MOUSE</x:v>
      </x:c>
      <x:c r="AJ116" t="str">
        <x:v>sp|Q8K448|ABCA5_MOUSE Cholesterol transporter ABCA5 OS=Mus musculus OX=10090 GN=Abca5 PE=1 SV=2</x:v>
      </x:c>
      <x:c r="AK116" s="19" t="n">
        <x:v>1.9e-10</x:v>
      </x:c>
      <x:c r="AL116" t="n">
        <x:v>60.1</x:v>
      </x:c>
      <x:c r="AM116" t="n">
        <x:v>50.8</x:v>
      </x:c>
      <x:c r="AN116" t="n">
        <x:v>49.166666666666664</x:v>
      </x:c>
      <x:c r="AO116" t="n">
        <x:v>3.5931790499390988</x:v>
      </x:c>
      <x:c r="AP116" t="n">
        <x:v>0</x:v>
      </x:c>
      <x:c r="AQ116" t="n">
        <x:v>0</x:v>
      </x:c>
      <x:c r="AR116" t="str">
        <x:v>ABC_C016</x:v>
      </x:c>
      <x:c r="AS116" t="n">
        <x:v>1</x:v>
      </x:c>
      <x:c r="AT116" s="17" t="n">
        <x:f>AVERAGE(E116:G116)</x:f>
        <x:v>0.10171000000000001</x:v>
      </x:c>
      <x:c r="AU116" s="17" t="n">
        <x:f>STDEV.S(E116:G116)</x:f>
        <x:v>0.09718975614744592</x:v>
      </x:c>
      <x:c r="AV116" s="17" t="n">
        <x:f>AVERAGE(H116:J116)</x:f>
        <x:v>0.026237</x:v>
      </x:c>
      <x:c r="AW116" s="17" t="n">
        <x:f>STDEV.S(H116:J116)</x:f>
        <x:v>0.045443817038184633</x:v>
      </x:c>
      <x:c r="AX116" s="17" t="n">
        <x:f>AV116-AT116</x:f>
        <x:v>-0.07547300000000001</x:v>
      </x:c>
      <x:c r="AY116" s="17" t="n">
        <x:f>LOG((AV116+1)/(AT116+1),2)</x:f>
        <x:v>-0.1023805707771333</x:v>
      </x:c>
      <x:c r="AZ116" s="17" t="n">
        <x:f>AVERAGE(E116:J116)</x:f>
        <x:v>0.0639735</x:v>
      </x:c>
      <x:c r="BA116" s="17" t="n">
        <x:f>MAX(E116:J116)</x:f>
        <x:v>0.19364</x:v>
      </x:c>
      <x:c r="BB116" s="20" t="n">
        <x:f>IF(Q116="provisional_HQ_domain",2,0)+IF(Y116,1,0)+IF(AB116,1,0)+IF(AI116&lt;&gt;"",1,0)+IF(AP116+AQ116&gt;0,1,0)</x:f>
        <x:v>1</x:v>
      </x:c>
      <x:c r="BC116" t="str">
        <x:f>IF(OR(ISNUMBER(SEARCH("exclude",U116)),ISNUMBER(SEARCH("hold",U116)),ISNUMBER(SEARCH("hold",W116))),"Review",IF(BB116&gt;=5,"Strong multi-evidence",IF(BB116&gt;=3,"Supported","Weak/inspect")))</x:f>
        <x:v>Review</x:v>
      </x:c>
    </x:row>
    <x:row r="117">
      <x:c r="A117" t="str">
        <x:v>ABC</x:v>
      </x:c>
      <x:c r="B117" t="str">
        <x:v>TRINITY_DN35371_c0_g2</x:v>
      </x:c>
      <x:c r="C117" t="str">
        <x:v>no</x:v>
      </x:c>
      <x:c r="D117" t="n">
        <x:v>1</x:v>
      </x:c>
      <x:c r="E117" s="17" t="n">
        <x:v>0.017645</x:v>
      </x:c>
      <x:c r="F117" s="17" t="n">
        <x:v>0.065113</x:v>
      </x:c>
      <x:c r="G117" s="17" t="n">
        <x:v>0.149404</x:v>
      </x:c>
      <x:c r="H117" s="17" t="n">
        <x:v>0.103997</x:v>
      </x:c>
      <x:c r="I117" s="17" t="n">
        <x:v>0.047287</x:v>
      </x:c>
      <x:c r="J117" s="17" t="n">
        <x:v>0.066059</x:v>
      </x:c>
      <x:c r="K117" s="17" t="n">
        <x:v>0.07280708</x:v>
      </x:c>
      <x:c r="L117" s="17" t="n">
        <x:v>0.06267582000000001</x:v>
      </x:c>
      <x:c r="M117" s="17" t="n">
        <x:v>-0.01013125999999999</x:v>
      </x:c>
      <x:c r="N117" s="18" t="n">
        <x:v>0.999999010765626</x:v>
      </x:c>
      <x:c r="O117" t="str">
        <x:v>TRINITY_DN35371_c0_g2_i1.p1</x:v>
      </x:c>
      <x:c r="P117" t="n">
        <x:v>224</x:v>
      </x:c>
      <x:c r="Q117" t="str">
        <x:v>review</x:v>
      </x:c>
      <x:c r="R117" t="str">
        <x:v>NBD_only_or_TMD_not_detected</x:v>
      </x:c>
      <x:c r="S117" t="str">
        <x:v>IPR003439;PF00005</x:v>
      </x:c>
      <x:c r="T117" t="str">
        <x:v>ABC transporter;ABC transporter-like, ATP-binding domain</x:v>
      </x:c>
      <x:c r="U117" t="str">
        <x:v>hold_ABC_fragment_review</x:v>
      </x:c>
      <x:c r="V117" t="str">
        <x:v>partial ABC architecture; requires isoform/homology inspection</x:v>
      </x:c>
      <x:c r="W117" t="str">
        <x:v>hold_for_targeted_homology_or_assembly_review</x:v>
      </x:c>
      <x:c r="X117" t="str">
        <x:v>current isoforms do not unite sufficient sequence and architecture evidence</x:v>
      </x:c>
      <x:c r="Y117" s="15" t="b">
        <x:v>1</x:v>
      </x:c>
      <x:c r="Z117" s="15" t="b">
        <x:v>0</x:v>
      </x:c>
      <x:c r="AA117" s="15" t="b">
        <x:v>1</x:v>
      </x:c>
      <x:c r="AB117" s="15" t="b">
        <x:v>0</x:v>
      </x:c>
      <x:c r="AC117" t="str">
        <x:v>Spodoptera|XP_050552858.1</x:v>
      </x:c>
      <x:c r="AD117" s="19" t="n">
        <x:v>2.4e-152</x:v>
      </x:c>
      <x:c r="AE117" t="n">
        <x:v>458</x:v>
      </x:c>
      <x:c r="AF117" t="n">
        <x:v>97.778</x:v>
      </x:c>
      <x:c r="AG117" t="n">
        <x:v>100.446</x:v>
      </x:c>
      <x:c r="AH117" t="n">
        <x:v>12.149</x:v>
      </x:c>
      <x:c r="AI117" t="str">
        <x:v>sp|Q8CF82|ABCA5_RAT</x:v>
      </x:c>
      <x:c r="AJ117" t="str">
        <x:v>sp|Q8CF82|ABCA5_RAT Cholesterol transporter ABCA5 OS=Rattus norvegicus OX=10116 GN=Abca5 PE=2 SV=1</x:v>
      </x:c>
      <x:c r="AK117" s="19" t="n">
        <x:v>3.21e-55</x:v>
      </x:c>
      <x:c r="AL117" t="n">
        <x:v>192</x:v>
      </x:c>
      <x:c r="AM117" t="n">
        <x:v>46.7</x:v>
      </x:c>
      <x:c r="AN117" t="n">
        <x:v>87.05357142857143</x:v>
      </x:c>
      <x:c r="AO117" t="n">
        <x:v>11.875761266747869</x:v>
      </x:c>
      <x:c r="AP117" t="n">
        <x:v>0</x:v>
      </x:c>
      <x:c r="AQ117" t="n">
        <x:v>0</x:v>
      </x:c>
      <x:c r="AR117" t="str">
        <x:v>ABC_C007</x:v>
      </x:c>
      <x:c r="AS117" t="n">
        <x:v>2</x:v>
      </x:c>
      <x:c r="AT117" s="17" t="n">
        <x:f>AVERAGE(E117:G117)</x:f>
        <x:v>0.07738733333333334</x:v>
      </x:c>
      <x:c r="AU117" s="17" t="n">
        <x:f>STDEV.S(E117:G117)</x:f>
        <x:v>0.06673157396864945</x:v>
      </x:c>
      <x:c r="AV117" s="17" t="n">
        <x:f>AVERAGE(H117:J117)</x:f>
        <x:v>0.07244766666666667</x:v>
      </x:c>
      <x:c r="AW117" s="17" t="n">
        <x:f>STDEV.S(H117:J117)</x:f>
        <x:v>0.02888974422408986</x:v>
      </x:c>
      <x:c r="AX117" s="17" t="n">
        <x:f>AV117-AT117</x:f>
        <x:v>-0.004939666666666662</x:v>
      </x:c>
      <x:c r="AY117" s="17" t="n">
        <x:f>LOG((AV117+1)/(AT117+1),2)</x:f>
        <x:v>-0.006629760093024417</x:v>
      </x:c>
      <x:c r="AZ117" s="17" t="n">
        <x:f>AVERAGE(E117:J117)</x:f>
        <x:v>0.07491750000000001</x:v>
      </x:c>
      <x:c r="BA117" s="17" t="n">
        <x:f>MAX(E117:J117)</x:f>
        <x:v>0.149404</x:v>
      </x:c>
      <x:c r="BB117" s="20" t="n">
        <x:f>IF(Q117="provisional_HQ_domain",2,0)+IF(Y117,1,0)+IF(AB117,1,0)+IF(AI117&lt;&gt;"",1,0)+IF(AP117+AQ117&gt;0,1,0)</x:f>
        <x:v>2</x:v>
      </x:c>
      <x:c r="BC117" t="str">
        <x:f>IF(OR(ISNUMBER(SEARCH("exclude",U117)),ISNUMBER(SEARCH("hold",U117)),ISNUMBER(SEARCH("hold",W117))),"Review",IF(BB117&gt;=5,"Strong multi-evidence",IF(BB117&gt;=3,"Supported","Weak/inspect")))</x:f>
        <x:v>Review</x:v>
      </x:c>
    </x:row>
    <x:row r="118">
      <x:c r="A118" t="str">
        <x:v>ABC</x:v>
      </x:c>
      <x:c r="B118" t="str">
        <x:v>TRINITY_DN37894_c0_g1</x:v>
      </x:c>
      <x:c r="C118" t="str">
        <x:v>no</x:v>
      </x:c>
      <x:c r="D118" t="n">
        <x:v>1</x:v>
      </x:c>
      <x:c r="E118" s="17" t="n">
        <x:v>0.049527</x:v>
      </x:c>
      <x:c r="F118" s="17" t="n">
        <x:v>0.060996</x:v>
      </x:c>
      <x:c r="G118" s="17" t="n">
        <x:v>0.051521</x:v>
      </x:c>
      <x:c r="H118" s="17" t="n">
        <x:v>0</x:v>
      </x:c>
      <x:c r="I118" s="17" t="n">
        <x:v>0.135431</x:v>
      </x:c>
      <x:c r="J118" s="17" t="n">
        <x:v>0</x:v>
      </x:c>
      <x:c r="K118" s="17" t="n">
        <x:v>0.044212384</x:v>
      </x:c>
      <x:c r="L118" s="17" t="n">
        <x:v>0.0488835</x:v>
      </x:c>
      <x:c r="M118" s="17" t="n">
        <x:v>0.004671116000000003</x:v>
      </x:c>
      <x:c r="N118" s="18"/>
      <x:c r="O118" t="str">
        <x:v>TRINITY_DN37894_c0_g1_i1.p1</x:v>
      </x:c>
      <x:c r="P118" t="n">
        <x:v>125</x:v>
      </x:c>
      <x:c r="Q118" t="str">
        <x:v>review</x:v>
      </x:c>
      <x:c r="R118" t="str">
        <x:v>NBD_only_or_TMD_not_detected</x:v>
      </x:c>
      <x:c r="S118" t="str">
        <x:v>IPR003439;PF00005</x:v>
      </x:c>
      <x:c r="T118" t="str">
        <x:v>ABC transporter;ABC transporter-like, ATP-binding domain</x:v>
      </x:c>
      <x:c r="U118" t="str">
        <x:v>hold_ABC_fragment_review</x:v>
      </x:c>
      <x:c r="V118" t="str">
        <x:v>partial ABC architecture; requires isoform/homology inspection</x:v>
      </x:c>
      <x:c r="W118" t="str">
        <x:v>hold_for_targeted_homology_or_assembly_review</x:v>
      </x:c>
      <x:c r="X118" t="str">
        <x:v>current isoforms do not unite sufficient sequence and architecture evidence</x:v>
      </x:c>
      <x:c r="Y118" s="15" t="b">
        <x:v>1</x:v>
      </x:c>
      <x:c r="Z118" s="15" t="b">
        <x:v>0</x:v>
      </x:c>
      <x:c r="AA118" s="15" t="b">
        <x:v>1</x:v>
      </x:c>
      <x:c r="AB118" s="15" t="b">
        <x:v>0</x:v>
      </x:c>
      <x:c r="AC118" t="str">
        <x:v>Spodoptera|XP_050551669.1</x:v>
      </x:c>
      <x:c r="AD118" s="19" t="n">
        <x:v>2.71e-68</x:v>
      </x:c>
      <x:c r="AE118" t="n">
        <x:v>216</x:v>
      </x:c>
      <x:c r="AF118" t="n">
        <x:v>80.8</x:v>
      </x:c>
      <x:c r="AG118" t="n">
        <x:v>100</x:v>
      </x:c>
      <x:c r="AH118" t="n">
        <x:v>3.07882</x:v>
      </x:c>
      <x:c r="AI118" t="str">
        <x:v>sp|P41234|ABCA2_MOUSE</x:v>
      </x:c>
      <x:c r="AJ118" t="str">
        <x:v>sp|P41234|ABCA2_MOUSE ATP-binding cassette sub-family A member 2 OS=Mus musculus OX=10090 GN=Abca2 PE=1 SV=4</x:v>
      </x:c>
      <x:c r="AK118" s="19" t="n">
        <x:v>1.4e-23</x:v>
      </x:c>
      <x:c r="AL118" t="n">
        <x:v>97.8</x:v>
      </x:c>
      <x:c r="AM118" t="n">
        <x:v>40.2</x:v>
      </x:c>
      <x:c r="AN118" t="n">
        <x:v>101.6</x:v>
      </x:c>
      <x:c r="AO118" t="n">
        <x:v>5.217748562037798</x:v>
      </x:c>
      <x:c r="AP118" t="n">
        <x:v>0</x:v>
      </x:c>
      <x:c r="AQ118" t="n">
        <x:v>0</x:v>
      </x:c>
      <x:c r="AR118" t="str">
        <x:v>ABC_C007</x:v>
      </x:c>
      <x:c r="AS118" t="n">
        <x:v>2</x:v>
      </x:c>
      <x:c r="AT118" s="17" t="n">
        <x:f>AVERAGE(E118:G118)</x:f>
        <x:v>0.054014666666666676</x:v>
      </x:c>
      <x:c r="AU118" s="17" t="n">
        <x:f>STDEV.S(E118:G118)</x:f>
        <x:v>0.00612766434568126</x:v>
      </x:c>
      <x:c r="AV118" s="17" t="n">
        <x:f>AVERAGE(H118:J118)</x:f>
        <x:v>0.045143666666666665</x:v>
      </x:c>
      <x:c r="AW118" s="17" t="n">
        <x:f>STDEV.S(H118:J118)</x:f>
        <x:v>0.0781911243066202</x:v>
      </x:c>
      <x:c r="AX118" s="17" t="n">
        <x:f>AV118-AT118</x:f>
        <x:v>-0.00887100000000001</x:v>
      </x:c>
      <x:c r="AY118" s="17" t="n">
        <x:f>LOG((AV118+1)/(AT118+1),2)</x:f>
        <x:v>-0.0121936718086211</x:v>
      </x:c>
      <x:c r="AZ118" s="17" t="n">
        <x:f>AVERAGE(E118:J118)</x:f>
        <x:v>0.049579166666666674</x:v>
      </x:c>
      <x:c r="BA118" s="17" t="n">
        <x:f>MAX(E118:J118)</x:f>
        <x:v>0.135431</x:v>
      </x:c>
      <x:c r="BB118" s="20" t="n">
        <x:f>IF(Q118="provisional_HQ_domain",2,0)+IF(Y118,1,0)+IF(AB118,1,0)+IF(AI118&lt;&gt;"",1,0)+IF(AP118+AQ118&gt;0,1,0)</x:f>
        <x:v>2</x:v>
      </x:c>
      <x:c r="BC118" t="str">
        <x:f>IF(OR(ISNUMBER(SEARCH("exclude",U118)),ISNUMBER(SEARCH("hold",U118)),ISNUMBER(SEARCH("hold",W118))),"Review",IF(BB118&gt;=5,"Strong multi-evidence",IF(BB118&gt;=3,"Supported","Weak/inspect")))</x:f>
        <x:v>Review</x:v>
      </x:c>
    </x:row>
    <x:row r="119">
      <x:c r="A119" t="str">
        <x:v>ABC</x:v>
      </x:c>
      <x:c r="B119" t="str">
        <x:v>TRINITY_DN4426_c0_g1</x:v>
      </x:c>
      <x:c r="C119" t="str">
        <x:v>yes</x:v>
      </x:c>
      <x:c r="D119" t="n">
        <x:v>5</x:v>
      </x:c>
      <x:c r="E119" s="17" t="n">
        <x:v>1.7761449999999999</x:v>
      </x:c>
      <x:c r="F119" s="17" t="n">
        <x:v>3.304687</x:v>
      </x:c>
      <x:c r="G119" s="17" t="n">
        <x:v>2.145156</x:v>
      </x:c>
      <x:c r="H119" s="17" t="n">
        <x:v>2.993249</x:v>
      </x:c>
      <x:c r="I119" s="17" t="n">
        <x:v>3.855384</x:v>
      </x:c>
      <x:c r="J119" s="17" t="n">
        <x:v>4.456208999999999</x:v>
      </x:c>
      <x:c r="K119" s="17" t="n">
        <x:v>2.09575394</x:v>
      </x:c>
      <x:c r="L119" s="17" t="n">
        <x:v>3.1564819999999996</x:v>
      </x:c>
      <x:c r="M119" s="17" t="n">
        <x:v>1.0607280599999998</x:v>
      </x:c>
      <x:c r="N119" s="18" t="n">
        <x:v>0.767141598962275</x:v>
      </x:c>
      <x:c r="O119" t="str">
        <x:v>TRINITY_DN4426_c0_g1_i3.p1</x:v>
      </x:c>
      <x:c r="P119" t="n">
        <x:v>707</x:v>
      </x:c>
      <x:c r="Q119" t="str">
        <x:v>provisional_HQ_domain</x:v>
      </x:c>
      <x:c r="R119" t="str">
        <x:v>NBD_and_TMD_evidence</x:v>
      </x:c>
      <x:c r="S119" t="str">
        <x:v>IPR003439;IPR011527;PF00005;PF00664</x:v>
      </x:c>
      <x:c r="T119" t="str">
        <x:v>ABC transporter;ABC transporter transmembrane region;ABC transporter type 1, transmembrane domain;ABC transporter-like, ATP-binding domain</x:v>
      </x:c>
      <x:c r="U119"/>
      <x:c r="V119"/>
      <x:c r="W119"/>
      <x:c r="X119"/>
      <x:c r="Y119" s="15" t="b">
        <x:v>1</x:v>
      </x:c>
      <x:c r="Z119" s="15" t="b">
        <x:v>0</x:v>
      </x:c>
      <x:c r="AA119" s="15" t="b">
        <x:v>1</x:v>
      </x:c>
      <x:c r="AB119" s="15" t="b">
        <x:v>1</x:v>
      </x:c>
      <x:c r="AC119" t="str">
        <x:v>Spodoptera|XP_035437183.1</x:v>
      </x:c>
      <x:c r="AD119" s="19" t="n">
        <x:v>0</x:v>
      </x:c>
      <x:c r="AE119" t="n">
        <x:v>1267</x:v>
      </x:c>
      <x:c r="AF119" t="n">
        <x:v>86.827</x:v>
      </x:c>
      <x:c r="AG119" t="n">
        <x:v>100</x:v>
      </x:c>
      <x:c r="AH119" t="n">
        <x:v>100.142</x:v>
      </x:c>
      <x:c r="AI119" t="str">
        <x:v>sp|Q9JI39|ABCBA_MOUSE</x:v>
      </x:c>
      <x:c r="AJ119" t="str">
        <x:v>sp|Q9JI39|ABCBA_MOUSE ATP-binding cassette sub-family B member 10, mitochondrial OS=Mus musculus OX=10090 GN=Abcb10 PE=1 SV=1</x:v>
      </x:c>
      <x:c r="AK119" s="19" t="n">
        <x:v>8.47e-183</x:v>
      </x:c>
      <x:c r="AL119" t="n">
        <x:v>540</x:v>
      </x:c>
      <x:c r="AM119" t="n">
        <x:v>50</x:v>
      </x:c>
      <x:c r="AN119" t="n">
        <x:v>84.13597733711048</x:v>
      </x:c>
      <x:c r="AO119" t="n">
        <x:v>83.07692307692308</x:v>
      </x:c>
      <x:c r="AP119" t="n">
        <x:v>0</x:v>
      </x:c>
      <x:c r="AQ119" t="n">
        <x:v>0</x:v>
      </x:c>
      <x:c r="AR119" t="str">
        <x:v>ABC_C003</x:v>
      </x:c>
      <x:c r="AS119" t="n">
        <x:v>6</x:v>
      </x:c>
      <x:c r="AT119" s="17" t="n">
        <x:f>AVERAGE(E119:G119)</x:f>
        <x:v>2.408662666666667</x:v>
      </x:c>
      <x:c r="AU119" s="17" t="n">
        <x:f>STDEV.S(E119:G119)</x:f>
        <x:v>0.7976133047876854</x:v>
      </x:c>
      <x:c r="AV119" s="17" t="n">
        <x:f>AVERAGE(H119:J119)</x:f>
        <x:v>3.768280666666666</x:v>
      </x:c>
      <x:c r="AW119" s="17" t="n">
        <x:f>STDEV.S(H119:J119)</x:f>
        <x:v>0.7353592546560714</x:v>
      </x:c>
      <x:c r="AX119" s="17" t="n">
        <x:f>AV119-AT119</x:f>
        <x:v>1.3596179999999993</x:v>
      </x:c>
      <x:c r="AY119" s="17" t="n">
        <x:f>LOG((AV119+1)/(AT119+1),2)</x:f>
        <x:v>0.48426332471414324</x:v>
      </x:c>
      <x:c r="AZ119" s="17" t="n">
        <x:f>AVERAGE(E119:J119)</x:f>
        <x:v>3.088471666666667</x:v>
      </x:c>
      <x:c r="BA119" s="17" t="n">
        <x:f>MAX(E119:J119)</x:f>
        <x:v>4.456208999999999</x:v>
      </x:c>
      <x:c r="BB119" s="20" t="n">
        <x:f>IF(Q119="provisional_HQ_domain",2,0)+IF(Y119,1,0)+IF(AB119,1,0)+IF(AI119&lt;&gt;"",1,0)+IF(AP119+AQ119&gt;0,1,0)</x:f>
        <x:v>5</x:v>
      </x:c>
      <x:c r="BC119" t="str">
        <x:f>IF(OR(ISNUMBER(SEARCH("exclude",U119)),ISNUMBER(SEARCH("hold",U119)),ISNUMBER(SEARCH("hold",W119))),"Review",IF(BB119&gt;=5,"Strong multi-evidence",IF(BB119&gt;=3,"Supported","Weak/inspect")))</x:f>
        <x:v>Strong multi-evidence</x:v>
      </x:c>
    </x:row>
    <x:row r="120">
      <x:c r="A120" t="str">
        <x:v>ABC</x:v>
      </x:c>
      <x:c r="B120" t="str">
        <x:v>TRINITY_DN44328_c0_g1</x:v>
      </x:c>
      <x:c r="C120" t="str">
        <x:v>no</x:v>
      </x:c>
      <x:c r="D120" t="n">
        <x:v>1</x:v>
      </x:c>
      <x:c r="E120" s="17" t="n">
        <x:v>8.651382</x:v>
      </x:c>
      <x:c r="F120" s="17" t="n">
        <x:v>8.186729</x:v>
      </x:c>
      <x:c r="G120" s="17" t="n">
        <x:v>3.778477</x:v>
      </x:c>
      <x:c r="H120" s="17" t="n">
        <x:v>6.160405</x:v>
      </x:c>
      <x:c r="I120" s="17" t="n">
        <x:v>9.33408</x:v>
      </x:c>
      <x:c r="J120" s="17" t="n">
        <x:v>5.376177</x:v>
      </x:c>
      <x:c r="K120" s="17" t="n">
        <x:v>5.9369176</x:v>
      </x:c>
      <x:c r="L120" s="17" t="n">
        <x:v>5.9077404</x:v>
      </x:c>
      <x:c r="M120" s="17" t="n">
        <x:v>-0.029177200000000347</x:v>
      </x:c>
      <x:c r="N120" s="18" t="n">
        <x:v>0.999999010765626</x:v>
      </x:c>
      <x:c r="O120" t="str">
        <x:v>TRINITY_DN44328_c0_g1_i1.p1</x:v>
      </x:c>
      <x:c r="P120" t="n">
        <x:v>114</x:v>
      </x:c>
      <x:c r="Q120" t="str">
        <x:v>review</x:v>
      </x:c>
      <x:c r="R120" t="str">
        <x:v>TMD_only_or_NBD_not_detected</x:v>
      </x:c>
      <x:c r="S120" t="str">
        <x:v>IPR011527;PF00664</x:v>
      </x:c>
      <x:c r="T120" t="str">
        <x:v>ABC transporter transmembrane region;ABC transporter type 1, transmembrane domain</x:v>
      </x:c>
      <x:c r="U120" t="str">
        <x:v>hold_ABC_fragment_review</x:v>
      </x:c>
      <x:c r="V120" t="str">
        <x:v>partial ABC architecture; requires isoform/homology inspection</x:v>
      </x:c>
      <x:c r="W120" t="str">
        <x:v>hold_for_targeted_homology_or_assembly_review</x:v>
      </x:c>
      <x:c r="X120" t="str">
        <x:v>current isoforms do not unite sufficient sequence and architecture evidence</x:v>
      </x:c>
      <x:c r="Y120" s="15" t="b">
        <x:v>1</x:v>
      </x:c>
      <x:c r="Z120" s="15" t="b">
        <x:v>0</x:v>
      </x:c>
      <x:c r="AA120" s="15" t="b">
        <x:v>1</x:v>
      </x:c>
      <x:c r="AB120" s="15" t="b">
        <x:v>0</x:v>
      </x:c>
      <x:c r="AC120" t="str">
        <x:v>Spodoptera|XP_050549297.1</x:v>
      </x:c>
      <x:c r="AD120" s="19" t="n">
        <x:v>2.52e-65</x:v>
      </x:c>
      <x:c r="AE120" t="n">
        <x:v>207</x:v>
      </x:c>
      <x:c r="AF120" t="n">
        <x:v>85.841</x:v>
      </x:c>
      <x:c r="AG120" t="n">
        <x:v>99.1228</x:v>
      </x:c>
      <x:c r="AH120" t="n">
        <x:v>8.2542</x:v>
      </x:c>
      <x:c r="AI120" t="str">
        <x:v>sp|P91660|L259_DROME</x:v>
      </x:c>
      <x:c r="AJ120" t="str">
        <x:v>sp|P91660|L259_DROME Probable multidrug resistance-associated protein lethal(2)03659 OS=Drosophila melanogaster OX=7227 GN=l(2)03659 PE=2 SV=4</x:v>
      </x:c>
      <x:c r="AK120" s="19" t="n">
        <x:v>1.89e-19</x:v>
      </x:c>
      <x:c r="AL120" t="n">
        <x:v>85.5</x:v>
      </x:c>
      <x:c r="AM120" t="n">
        <x:v>36.2</x:v>
      </x:c>
      <x:c r="AN120" t="n">
        <x:v>92.10526315789474</x:v>
      </x:c>
      <x:c r="AO120" t="n">
        <x:v>7.641921397379913</x:v>
      </x:c>
      <x:c r="AP120" t="n">
        <x:v>0</x:v>
      </x:c>
      <x:c r="AQ120" t="n">
        <x:v>0</x:v>
      </x:c>
      <x:c r="AR120" t="str">
        <x:v>ABC_C017</x:v>
      </x:c>
      <x:c r="AS120" t="n">
        <x:v>1</x:v>
      </x:c>
      <x:c r="AT120" s="17" t="n">
        <x:f>AVERAGE(E120:G120)</x:f>
        <x:v>6.872195999999999</x:v>
      </x:c>
      <x:c r="AU120" s="17" t="n">
        <x:f>STDEV.S(E120:G120)</x:f>
        <x:v>2.6892933162492705</x:v>
      </x:c>
      <x:c r="AV120" s="17" t="n">
        <x:f>AVERAGE(H120:J120)</x:f>
        <x:v>6.956887333333334</x:v>
      </x:c>
      <x:c r="AW120" s="17" t="n">
        <x:f>STDEV.S(H120:J120)</x:f>
        <x:v>2.0957187597185682</x:v>
      </x:c>
      <x:c r="AX120" s="17" t="n">
        <x:f>AV120-AT120</x:f>
        <x:v>0.08469133333333545</x:v>
      </x:c>
      <x:c r="AY120" s="17" t="n">
        <x:f>LOG((AV120+1)/(AT120+1),2)</x:f>
        <x:v>0.015438030105245392</x:v>
      </x:c>
      <x:c r="AZ120" s="17" t="n">
        <x:f>AVERAGE(E120:J120)</x:f>
        <x:v>6.914541666666666</x:v>
      </x:c>
      <x:c r="BA120" s="17" t="n">
        <x:f>MAX(E120:J120)</x:f>
        <x:v>9.33408</x:v>
      </x:c>
      <x:c r="BB120" s="20" t="n">
        <x:f>IF(Q120="provisional_HQ_domain",2,0)+IF(Y120,1,0)+IF(AB120,1,0)+IF(AI120&lt;&gt;"",1,0)+IF(AP120+AQ120&gt;0,1,0)</x:f>
        <x:v>2</x:v>
      </x:c>
      <x:c r="BC120" t="str">
        <x:f>IF(OR(ISNUMBER(SEARCH("exclude",U120)),ISNUMBER(SEARCH("hold",U120)),ISNUMBER(SEARCH("hold",W120))),"Review",IF(BB120&gt;=5,"Strong multi-evidence",IF(BB120&gt;=3,"Supported","Weak/inspect")))</x:f>
        <x:v>Review</x:v>
      </x:c>
    </x:row>
    <x:row r="121">
      <x:c r="A121" t="str">
        <x:v>ABC</x:v>
      </x:c>
      <x:c r="B121" t="str">
        <x:v>TRINITY_DN4518_c0_g1</x:v>
      </x:c>
      <x:c r="C121" t="str">
        <x:v>yes</x:v>
      </x:c>
      <x:c r="D121" t="n">
        <x:v>8</x:v>
      </x:c>
      <x:c r="E121" s="17" t="n">
        <x:v>1.530235</x:v>
      </x:c>
      <x:c r="F121" s="17" t="n">
        <x:v>4.476188</x:v>
      </x:c>
      <x:c r="G121" s="17" t="n">
        <x:v>4.044308</x:v>
      </x:c>
      <x:c r="H121" s="17" t="n">
        <x:v>2.9931669999999997</x:v>
      </x:c>
      <x:c r="I121" s="17" t="n">
        <x:v>3.127432</x:v>
      </x:c>
      <x:c r="J121" s="17" t="n">
        <x:v>4.482114</x:v>
      </x:c>
      <x:c r="K121" s="17" t="n">
        <x:v>3.1783826</x:v>
      </x:c>
      <x:c r="L121" s="17" t="n">
        <x:v>3.4938423399999996</x:v>
      </x:c>
      <x:c r="M121" s="17" t="n">
        <x:v>0.31545973999999966</x:v>
      </x:c>
      <x:c r="N121" s="18" t="n">
        <x:v>0.66603070427271</x:v>
      </x:c>
      <x:c r="O121" t="str">
        <x:v>TRINITY_DN4518_c0_g1_i1.p1</x:v>
      </x:c>
      <x:c r="P121" t="n">
        <x:v>1363</x:v>
      </x:c>
      <x:c r="Q121" t="str">
        <x:v>provisional_HQ_domain</x:v>
      </x:c>
      <x:c r="R121" t="str">
        <x:v>NBD_and_TMD_evidence</x:v>
      </x:c>
      <x:c r="S121" t="str">
        <x:v>IPR003439;IPR011527;PF00005;PF00664</x:v>
      </x:c>
      <x:c r="T121" t="str">
        <x:v>ABC transporter;ABC transporter transmembrane region;ABC transporter type 1, transmembrane domain;ABC transporter-like, ATP-binding domain</x:v>
      </x:c>
      <x:c r="U121"/>
      <x:c r="V121"/>
      <x:c r="W121"/>
      <x:c r="X121"/>
      <x:c r="Y121" s="15" t="b">
        <x:v>1</x:v>
      </x:c>
      <x:c r="Z121" s="15" t="b">
        <x:v>0</x:v>
      </x:c>
      <x:c r="AA121" s="15" t="b">
        <x:v>1</x:v>
      </x:c>
      <x:c r="AB121" s="15" t="b">
        <x:v>1</x:v>
      </x:c>
      <x:c r="AC121" t="str">
        <x:v>Spodoptera|XP_035429631.1</x:v>
      </x:c>
      <x:c r="AD121" s="19" t="n">
        <x:v>0</x:v>
      </x:c>
      <x:c r="AE121" t="n">
        <x:v>2513</x:v>
      </x:c>
      <x:c r="AF121" t="n">
        <x:v>90.682</x:v>
      </x:c>
      <x:c r="AG121" t="n">
        <x:v>100.073</x:v>
      </x:c>
      <x:c r="AH121" t="n">
        <x:v>100.147</x:v>
      </x:c>
      <x:c r="AI121" t="str">
        <x:v>sp|E9Q236|MRP4_MOUSE</x:v>
      </x:c>
      <x:c r="AJ121" t="str">
        <x:v>sp|E9Q236|MRP4_MOUSE ATP-binding cassette sub-family C member 4 OS=Mus musculus OX=10090 GN=Abcc4 PE=1 SV=1</x:v>
      </x:c>
      <x:c r="AK121" s="19" t="n">
        <x:v>4.12e-315</x:v>
      </x:c>
      <x:c r="AL121" t="n">
        <x:v>925</x:v>
      </x:c>
      <x:c r="AM121" t="n">
        <x:v>40.8</x:v>
      </x:c>
      <x:c r="AN121" t="n">
        <x:v>100.51395007342144</x:v>
      </x:c>
      <x:c r="AO121" t="n">
        <x:v>103.32075471698113</x:v>
      </x:c>
      <x:c r="AP121" t="n">
        <x:v>0</x:v>
      </x:c>
      <x:c r="AQ121" t="n">
        <x:v>0</x:v>
      </x:c>
      <x:c r="AR121" t="str">
        <x:v>ABC_C001</x:v>
      </x:c>
      <x:c r="AS121" t="n">
        <x:v>11</x:v>
      </x:c>
      <x:c r="AT121" s="17" t="n">
        <x:f>AVERAGE(E121:G121)</x:f>
        <x:v>3.350243666666666</x:v>
      </x:c>
      <x:c r="AU121" s="17" t="n">
        <x:f>STDEV.S(E121:G121)</x:f>
        <x:v>1.5908971505588705</x:v>
      </x:c>
      <x:c r="AV121" s="17" t="n">
        <x:f>AVERAGE(H121:J121)</x:f>
        <x:v>3.5342376666666673</x:v>
      </x:c>
      <x:c r="AW121" s="17" t="n">
        <x:f>STDEV.S(H121:J121)</x:f>
        <x:v>0.8236254792236175</x:v>
      </x:c>
      <x:c r="AX121" s="17" t="n">
        <x:f>AV121-AT121</x:f>
        <x:v>0.1839940000000011</x:v>
      </x:c>
      <x:c r="AY121" s="17" t="n">
        <x:f>LOG((AV121+1)/(AT121+1),2)</x:f>
        <x:v>0.059763801653988334</x:v>
      </x:c>
      <x:c r="AZ121" s="17" t="n">
        <x:f>AVERAGE(E121:J121)</x:f>
        <x:v>3.4422406666666663</x:v>
      </x:c>
      <x:c r="BA121" s="17" t="n">
        <x:f>MAX(E121:J121)</x:f>
        <x:v>4.482114</x:v>
      </x:c>
      <x:c r="BB121" s="20" t="n">
        <x:f>IF(Q121="provisional_HQ_domain",2,0)+IF(Y121,1,0)+IF(AB121,1,0)+IF(AI121&lt;&gt;"",1,0)+IF(AP121+AQ121&gt;0,1,0)</x:f>
        <x:v>5</x:v>
      </x:c>
      <x:c r="BC121" t="str">
        <x:f>IF(OR(ISNUMBER(SEARCH("exclude",U121)),ISNUMBER(SEARCH("hold",U121)),ISNUMBER(SEARCH("hold",W121))),"Review",IF(BB121&gt;=5,"Strong multi-evidence",IF(BB121&gt;=3,"Supported","Weak/inspect")))</x:f>
        <x:v>Strong multi-evidence</x:v>
      </x:c>
    </x:row>
    <x:row r="122">
      <x:c r="A122" t="str">
        <x:v>ABC</x:v>
      </x:c>
      <x:c r="B122" t="str">
        <x:v>TRINITY_DN4644_c0_g1</x:v>
      </x:c>
      <x:c r="C122" t="str">
        <x:v>yes</x:v>
      </x:c>
      <x:c r="D122" t="n">
        <x:v>6</x:v>
      </x:c>
      <x:c r="E122" s="17" t="n">
        <x:v>1.713609</x:v>
      </x:c>
      <x:c r="F122" s="17" t="n">
        <x:v>0.24093</x:v>
      </x:c>
      <x:c r="G122" s="17" t="n">
        <x:v>0.959056</x:v>
      </x:c>
      <x:c r="H122" s="17" t="n">
        <x:v>0.208825</x:v>
      </x:c>
      <x:c r="I122" s="17" t="n">
        <x:v>0.64778</x:v>
      </x:c>
      <x:c r="J122" s="17" t="n">
        <x:v>0.107128</x:v>
      </x:c>
      <x:c r="K122" s="17" t="n">
        <x:v>0.9215013000000001</x:v>
      </x:c>
      <x:c r="L122" s="17" t="n">
        <x:v>0.31440512</x:v>
      </x:c>
      <x:c r="M122" s="17" t="n">
        <x:v>-0.6070961800000001</x:v>
      </x:c>
      <x:c r="N122" s="18" t="n">
        <x:v>0.000173909623535625</x:v>
      </x:c>
      <x:c r="O122" t="str">
        <x:v>TRINITY_DN4644_c0_g1_i1.p1</x:v>
      </x:c>
      <x:c r="P122" t="n">
        <x:v>638</x:v>
      </x:c>
      <x:c r="Q122" t="str">
        <x:v>provisional_HQ_domain</x:v>
      </x:c>
      <x:c r="R122" t="str">
        <x:v>NBD_and_TMD_evidence</x:v>
      </x:c>
      <x:c r="S122" t="str">
        <x:v>IPR003439;IPR013525;PF00005;PF01061</x:v>
      </x:c>
      <x:c r="T122" t="str">
        <x:v>ABC transporter;ABC transporter-like, ATP-binding domain;ABC-2 type transporter</x:v>
      </x:c>
      <x:c r="U122"/>
      <x:c r="V122"/>
      <x:c r="W122"/>
      <x:c r="X122"/>
      <x:c r="Y122" s="15" t="b">
        <x:v>1</x:v>
      </x:c>
      <x:c r="Z122" s="15" t="b">
        <x:v>0</x:v>
      </x:c>
      <x:c r="AA122" s="15" t="b">
        <x:v>1</x:v>
      </x:c>
      <x:c r="AB122" s="15" t="b">
        <x:v>1</x:v>
      </x:c>
      <x:c r="AC122" t="str">
        <x:v>Spodoptera|XP_035433730.1</x:v>
      </x:c>
      <x:c r="AD122" s="19" t="n">
        <x:v>0</x:v>
      </x:c>
      <x:c r="AE122" t="n">
        <x:v>1235</x:v>
      </x:c>
      <x:c r="AF122" t="n">
        <x:v>92.936</x:v>
      </x:c>
      <x:c r="AG122" t="n">
        <x:v>100</x:v>
      </x:c>
      <x:c r="AH122" t="n">
        <x:v>100</x:v>
      </x:c>
      <x:c r="AI122" t="str">
        <x:v>sp|Q64343|ABCG1_MOUSE</x:v>
      </x:c>
      <x:c r="AJ122" t="str">
        <x:v>sp|Q64343|ABCG1_MOUSE ATP-binding cassette sub-family G member 1 OS=Mus musculus OX=10090 GN=Abcg1 PE=1 SV=1</x:v>
      </x:c>
      <x:c r="AK122" s="19" t="n">
        <x:v>1.57e-141</x:v>
      </x:c>
      <x:c r="AL122" t="n">
        <x:v>430</x:v>
      </x:c>
      <x:c r="AM122" t="n">
        <x:v>39.5</x:v>
      </x:c>
      <x:c r="AN122" t="n">
        <x:v>94.97645211930926</x:v>
      </x:c>
      <x:c r="AO122" t="n">
        <x:v>90.84084084084084</x:v>
      </x:c>
      <x:c r="AP122" t="n">
        <x:v>0</x:v>
      </x:c>
      <x:c r="AQ122" t="n">
        <x:v>0</x:v>
      </x:c>
      <x:c r="AR122" t="str">
        <x:v>ABC_C002</x:v>
      </x:c>
      <x:c r="AS122" t="n">
        <x:v>8</x:v>
      </x:c>
      <x:c r="AT122" s="17" t="n">
        <x:f>AVERAGE(E122:G122)</x:f>
        <x:v>0.9711983333333333</x:v>
      </x:c>
      <x:c r="AU122" s="17" t="n">
        <x:f>STDEV.S(E122:G122)</x:f>
        <x:v>0.7364145819131593</x:v>
      </x:c>
      <x:c r="AV122" s="17" t="n">
        <x:f>AVERAGE(H122:J122)</x:f>
        <x:v>0.32124433333333335</x:v>
      </x:c>
      <x:c r="AW122" s="17" t="n">
        <x:f>STDEV.S(H122:J122)</x:f>
        <x:v>0.28732338254366513</x:v>
      </x:c>
      <x:c r="AX122" s="17" t="n">
        <x:f>AV122-AT122</x:f>
        <x:v>-0.6499539999999999</x:v>
      </x:c>
      <x:c r="AY122" s="17" t="n">
        <x:f>LOG((AV122+1)/(AT122+1),2)</x:f>
        <x:v>-0.5771756572674985</x:v>
      </x:c>
      <x:c r="AZ122" s="17" t="n">
        <x:f>AVERAGE(E122:J122)</x:f>
        <x:v>0.6462213333333333</x:v>
      </x:c>
      <x:c r="BA122" s="17" t="n">
        <x:f>MAX(E122:J122)</x:f>
        <x:v>1.713609</x:v>
      </x:c>
      <x:c r="BB122" s="20" t="n">
        <x:f>IF(Q122="provisional_HQ_domain",2,0)+IF(Y122,1,0)+IF(AB122,1,0)+IF(AI122&lt;&gt;"",1,0)+IF(AP122+AQ122&gt;0,1,0)</x:f>
        <x:v>5</x:v>
      </x:c>
      <x:c r="BC122" t="str">
        <x:f>IF(OR(ISNUMBER(SEARCH("exclude",U122)),ISNUMBER(SEARCH("hold",U122)),ISNUMBER(SEARCH("hold",W122))),"Review",IF(BB122&gt;=5,"Strong multi-evidence",IF(BB122&gt;=3,"Supported","Weak/inspect")))</x:f>
        <x:v>Strong multi-evidence</x:v>
      </x:c>
    </x:row>
    <x:row r="123">
      <x:c r="A123" t="str">
        <x:v>ABC</x:v>
      </x:c>
      <x:c r="B123" t="str">
        <x:v>TRINITY_DN4709_c2_g1</x:v>
      </x:c>
      <x:c r="C123" t="str">
        <x:v>yes</x:v>
      </x:c>
      <x:c r="D123" t="n">
        <x:v>8</x:v>
      </x:c>
      <x:c r="E123" s="17" t="n">
        <x:v>0.018241</x:v>
      </x:c>
      <x:c r="F123" s="17" t="n">
        <x:v>1.015667</x:v>
      </x:c>
      <x:c r="G123" s="17" t="n">
        <x:v>1.954729</x:v>
      </x:c>
      <x:c r="H123" s="17" t="n">
        <x:v>1.558943</x:v>
      </x:c>
      <x:c r="I123" s="17" t="n">
        <x:v>0.567433</x:v>
      </x:c>
      <x:c r="J123" s="17" t="n">
        <x:v>0.038337</x:v>
      </x:c>
      <x:c r="K123" s="17" t="n">
        <x:v>0.9668662640000001</x:v>
      </x:c>
      <x:c r="L123" s="17" t="n">
        <x:v>0.728725378</x:v>
      </x:c>
      <x:c r="M123" s="17" t="n">
        <x:v>-0.23814088600000005</x:v>
      </x:c>
      <x:c r="N123" s="18" t="n">
        <x:v>0.11950252392447</x:v>
      </x:c>
      <x:c r="O123" t="str">
        <x:v>TRINITY_DN4709_c2_g1_i1.p1</x:v>
      </x:c>
      <x:c r="P123" t="n">
        <x:v>668</x:v>
      </x:c>
      <x:c r="Q123" t="str">
        <x:v>provisional_HQ_domain</x:v>
      </x:c>
      <x:c r="R123" t="str">
        <x:v>NBD_and_TMD_evidence</x:v>
      </x:c>
      <x:c r="S123" t="str">
        <x:v>IPR003439;IPR013525;PF00005;PF01061</x:v>
      </x:c>
      <x:c r="T123" t="str">
        <x:v>ABC transporter;ABC transporter-like, ATP-binding domain;ABC-2 type transporter</x:v>
      </x:c>
      <x:c r="U123"/>
      <x:c r="V123"/>
      <x:c r="W123"/>
      <x:c r="X123"/>
      <x:c r="Y123" s="15" t="b">
        <x:v>1</x:v>
      </x:c>
      <x:c r="Z123" s="15" t="b">
        <x:v>0</x:v>
      </x:c>
      <x:c r="AA123" s="15" t="b">
        <x:v>1</x:v>
      </x:c>
      <x:c r="AB123" s="15" t="b">
        <x:v>1</x:v>
      </x:c>
      <x:c r="AC123" t="str">
        <x:v>Spodoptera|XP_050561861.1</x:v>
      </x:c>
      <x:c r="AD123" s="19" t="n">
        <x:v>0</x:v>
      </x:c>
      <x:c r="AE123" t="n">
        <x:v>1143</x:v>
      </x:c>
      <x:c r="AF123" t="n">
        <x:v>83.958</x:v>
      </x:c>
      <x:c r="AG123" t="n">
        <x:v>100</x:v>
      </x:c>
      <x:c r="AH123" t="n">
        <x:v>100.15</x:v>
      </x:c>
      <x:c r="AI123" t="str">
        <x:v>sp|Q64343|ABCG1_MOUSE</x:v>
      </x:c>
      <x:c r="AJ123" t="str">
        <x:v>sp|Q64343|ABCG1_MOUSE ATP-binding cassette sub-family G member 1 OS=Mus musculus OX=10090 GN=Abcg1 PE=1 SV=1</x:v>
      </x:c>
      <x:c r="AK123" s="19" t="n">
        <x:v>4.41e-130</x:v>
      </x:c>
      <x:c r="AL123" t="n">
        <x:v>401</x:v>
      </x:c>
      <x:c r="AM123" t="n">
        <x:v>39.8</x:v>
      </x:c>
      <x:c r="AN123" t="n">
        <x:v>91.1544227886057</x:v>
      </x:c>
      <x:c r="AO123" t="n">
        <x:v>91.29129129129129</x:v>
      </x:c>
      <x:c r="AP123" t="n">
        <x:v>0</x:v>
      </x:c>
      <x:c r="AQ123" t="n">
        <x:v>0</x:v>
      </x:c>
      <x:c r="AR123" t="str">
        <x:v>ABC_C002</x:v>
      </x:c>
      <x:c r="AS123" t="n">
        <x:v>8</x:v>
      </x:c>
      <x:c r="AT123" s="17" t="n">
        <x:f>AVERAGE(E123:G123)</x:f>
        <x:v>0.9962123333333333</x:v>
      </x:c>
      <x:c r="AU123" s="17" t="n">
        <x:f>STDEV.S(E123:G123)</x:f>
        <x:v>0.9683905754277731</x:v>
      </x:c>
      <x:c r="AV123" s="17" t="n">
        <x:f>AVERAGE(H123:J123)</x:f>
        <x:v>0.721571</x:v>
      </x:c>
      <x:c r="AW123" s="17" t="n">
        <x:f>STDEV.S(H123:J123)</x:f>
        <x:v>0.7719323442452712</x:v>
      </x:c>
      <x:c r="AX123" s="17" t="n">
        <x:f>AV123-AT123</x:f>
        <x:v>-0.2746413333333333</x:v>
      </x:c>
      <x:c r="AY123" s="17" t="n">
        <x:f>LOG((AV123+1)/(AT123+1),2)</x:f>
        <x:v>-0.21353950468270774</x:v>
      </x:c>
      <x:c r="AZ123" s="17" t="n">
        <x:f>AVERAGE(E123:J123)</x:f>
        <x:v>0.8588916666666667</x:v>
      </x:c>
      <x:c r="BA123" s="17" t="n">
        <x:f>MAX(E123:J123)</x:f>
        <x:v>1.954729</x:v>
      </x:c>
      <x:c r="BB123" s="20" t="n">
        <x:f>IF(Q123="provisional_HQ_domain",2,0)+IF(Y123,1,0)+IF(AB123,1,0)+IF(AI123&lt;&gt;"",1,0)+IF(AP123+AQ123&gt;0,1,0)</x:f>
        <x:v>5</x:v>
      </x:c>
      <x:c r="BC123" t="str">
        <x:f>IF(OR(ISNUMBER(SEARCH("exclude",U123)),ISNUMBER(SEARCH("hold",U123)),ISNUMBER(SEARCH("hold",W123))),"Review",IF(BB123&gt;=5,"Strong multi-evidence",IF(BB123&gt;=3,"Supported","Weak/inspect")))</x:f>
        <x:v>Strong multi-evidence</x:v>
      </x:c>
    </x:row>
    <x:row r="124">
      <x:c r="A124" t="str">
        <x:v>ABC</x:v>
      </x:c>
      <x:c r="B124" t="str">
        <x:v>TRINITY_DN4830_c1_g1</x:v>
      </x:c>
      <x:c r="C124" t="str">
        <x:v>yes</x:v>
      </x:c>
      <x:c r="D124" t="n">
        <x:v>4</x:v>
      </x:c>
      <x:c r="E124" s="17" t="n">
        <x:v>2.474412</x:v>
      </x:c>
      <x:c r="F124" s="17" t="n">
        <x:v>3.0379140000000002</x:v>
      </x:c>
      <x:c r="G124" s="17" t="n">
        <x:v>2.4954549999999998</x:v>
      </x:c>
      <x:c r="H124" s="17" t="n">
        <x:v>3.342111</x:v>
      </x:c>
      <x:c r="I124" s="17" t="n">
        <x:v>3.686238</x:v>
      </x:c>
      <x:c r="J124" s="17" t="n">
        <x:v>3.6695070000000003</x:v>
      </x:c>
      <x:c r="K124" s="17" t="n">
        <x:v>2.5527144</x:v>
      </x:c>
      <x:c r="L124" s="17" t="n">
        <x:v>3.3770490000000004</x:v>
      </x:c>
      <x:c r="M124" s="17" t="n">
        <x:v>0.8243346000000003</x:v>
      </x:c>
      <x:c r="N124" s="18" t="n">
        <x:v>0.0459966632980332</x:v>
      </x:c>
      <x:c r="O124" t="str">
        <x:v>TRINITY_DN4830_c1_g1_i1.p1</x:v>
      </x:c>
      <x:c r="P124" t="n">
        <x:v>879</x:v>
      </x:c>
      <x:c r="Q124" t="str">
        <x:v>review</x:v>
      </x:c>
      <x:c r="R124" t="str">
        <x:v>NBD_only_or_TMD_not_detected</x:v>
      </x:c>
      <x:c r="S124" t="str">
        <x:v>IPR003439;PF00005</x:v>
      </x:c>
      <x:c r="T124" t="str">
        <x:v>ABC transporter;ABC transporter-like, ATP-binding domain</x:v>
      </x:c>
      <x:c r="U124" t="str">
        <x:v>retain_ABC_nontransporter</x:v>
      </x:c>
      <x:c r="V124" t="str">
        <x:v>ABCF proteins are soluble ABC-family ATPases and legitimately lack a TMD</x:v>
      </x:c>
      <x:c r="W124" t="str">
        <x:v>retain_ABC_nontransporter</x:v>
      </x:c>
      <x:c r="X124" t="str">
        <x:v>ABCF homology; soluble ABC ATPase architecture</x:v>
      </x:c>
      <x:c r="Y124" s="15" t="b">
        <x:v>1</x:v>
      </x:c>
      <x:c r="Z124" s="15" t="b">
        <x:v>0</x:v>
      </x:c>
      <x:c r="AA124" s="15" t="b">
        <x:v>1</x:v>
      </x:c>
      <x:c r="AB124" s="15" t="b">
        <x:v>1</x:v>
      </x:c>
      <x:c r="AC124" t="str">
        <x:v>Spodoptera|XP_050553786.1</x:v>
      </x:c>
      <x:c r="AD124" s="19" t="n">
        <x:v>0</x:v>
      </x:c>
      <x:c r="AE124" t="n">
        <x:v>1353</x:v>
      </x:c>
      <x:c r="AF124" t="n">
        <x:v>89.432</x:v>
      </x:c>
      <x:c r="AG124" t="n">
        <x:v>100.228</x:v>
      </x:c>
      <x:c r="AH124" t="n">
        <x:v>95.5483</x:v>
      </x:c>
      <x:c r="AI124" t="str">
        <x:v>sp|Q6P542|ABCF1_MOUSE</x:v>
      </x:c>
      <x:c r="AJ124" t="str">
        <x:v>sp|Q6P542|ABCF1_MOUSE ATP-binding cassette sub-family F member 1 OS=Mus musculus OX=10090 GN=Abcf1 PE=1 SV=1</x:v>
      </x:c>
      <x:c r="AK124" s="19" t="n">
        <x:v>1.93e-251</x:v>
      </x:c>
      <x:c r="AL124" t="n">
        <x:v>726</x:v>
      </x:c>
      <x:c r="AM124" t="n">
        <x:v>65</x:v>
      </x:c>
      <x:c r="AN124" t="n">
        <x:v>66.62870159453303</x:v>
      </x:c>
      <x:c r="AO124" t="n">
        <x:v>69.89247311827957</x:v>
      </x:c>
      <x:c r="AP124" t="n">
        <x:v>0</x:v>
      </x:c>
      <x:c r="AQ124" t="n">
        <x:v>0</x:v>
      </x:c>
      <x:c r="AR124" t="str">
        <x:v>ABC_C018</x:v>
      </x:c>
      <x:c r="AS124" t="n">
        <x:v>1</x:v>
      </x:c>
      <x:c r="AT124" s="17" t="n">
        <x:f>AVERAGE(E124:G124)</x:f>
        <x:v>2.6692603333333333</x:v>
      </x:c>
      <x:c r="AU124" s="17" t="n">
        <x:f>STDEV.S(E124:G124)</x:f>
        <x:v>0.31943676435616086</x:v>
      </x:c>
      <x:c r="AV124" s="17" t="n">
        <x:f>AVERAGE(H124:J124)</x:f>
        <x:v>3.5659520000000007</x:v>
      </x:c>
      <x:c r="AW124" s="17" t="n">
        <x:f>STDEV.S(H124:J124)</x:f>
        <x:v>0.19403241108381872</x:v>
      </x:c>
      <x:c r="AX124" s="17" t="n">
        <x:f>AV124-AT124</x:f>
        <x:v>0.8966916666666673</x:v>
      </x:c>
      <x:c r="AY124" s="17" t="n">
        <x:f>LOG((AV124+1)/(AT124+1),2)</x:f>
        <x:v>0.315426426014266</x:v>
      </x:c>
      <x:c r="AZ124" s="17" t="n">
        <x:f>AVERAGE(E124:J124)</x:f>
        <x:v>3.1176061666666666</x:v>
      </x:c>
      <x:c r="BA124" s="17" t="n">
        <x:f>MAX(E124:J124)</x:f>
        <x:v>3.686238</x:v>
      </x:c>
      <x:c r="BB124" s="20" t="n">
        <x:f>IF(Q124="provisional_HQ_domain",2,0)+IF(Y124,1,0)+IF(AB124,1,0)+IF(AI124&lt;&gt;"",1,0)+IF(AP124+AQ124&gt;0,1,0)</x:f>
        <x:v>3</x:v>
      </x:c>
      <x:c r="BC124" t="str">
        <x:f>IF(OR(ISNUMBER(SEARCH("exclude",U124)),ISNUMBER(SEARCH("hold",U124)),ISNUMBER(SEARCH("hold",W124))),"Review",IF(BB124&gt;=5,"Strong multi-evidence",IF(BB124&gt;=3,"Supported","Weak/inspect")))</x:f>
        <x:v>Supported</x:v>
      </x:c>
    </x:row>
    <x:row r="125">
      <x:c r="A125" t="str">
        <x:v>ABC</x:v>
      </x:c>
      <x:c r="B125" t="str">
        <x:v>TRINITY_DN48819_c0_g1</x:v>
      </x:c>
      <x:c r="C125" t="str">
        <x:v>no</x:v>
      </x:c>
      <x:c r="D125" t="n">
        <x:v>1</x:v>
      </x:c>
      <x:c r="E125" s="17" t="n">
        <x:v>0.086747</x:v>
      </x:c>
      <x:c r="F125" s="17" t="n">
        <x:v>0.106673</x:v>
      </x:c>
      <x:c r="G125" s="17" t="n">
        <x:v>0</x:v>
      </x:c>
      <x:c r="H125" s="17" t="n">
        <x:v>0</x:v>
      </x:c>
      <x:c r="I125" s="17" t="n">
        <x:v>0.055947</x:v>
      </x:c>
      <x:c r="J125" s="17" t="n">
        <x:v>0.053874</x:v>
      </x:c>
      <x:c r="K125" s="17" t="n">
        <x:v>0.06084058</x:v>
      </x:c>
      <x:c r="L125" s="17" t="n">
        <x:v>0.034465380000000004</x:v>
      </x:c>
      <x:c r="M125" s="17" t="n">
        <x:v>-0.026375199999999994</x:v>
      </x:c>
      <x:c r="N125" s="18"/>
      <x:c r="O125" t="str">
        <x:v>TRINITY_DN48819_c0_g1_i1.p1</x:v>
      </x:c>
      <x:c r="P125" t="n">
        <x:v>138</x:v>
      </x:c>
      <x:c r="Q125" t="str">
        <x:v>review</x:v>
      </x:c>
      <x:c r="R125" t="str">
        <x:v>no_family_defining_domain_in_current_core_table</x:v>
      </x:c>
      <x:c r="S125" t="str">
        <x:v>none</x:v>
      </x:c>
      <x:c r="T125" t="str">
        <x:v>none</x:v>
      </x:c>
      <x:c r="U125" t="str">
        <x:v>exclude_from_current_ABC_rough_set</x:v>
      </x:c>
      <x:c r="V125" t="str">
        <x:v>no defining ABC domain in the current core table and no historical support</x:v>
      </x:c>
      <x:c r="W125"/>
      <x:c r="X125"/>
      <x:c r="Y125" s="15" t="b">
        <x:v>0</x:v>
      </x:c>
      <x:c r="Z125" s="15" t="b">
        <x:v>0</x:v>
      </x:c>
      <x:c r="AA125" s="15" t="b">
        <x:v>1</x:v>
      </x:c>
      <x:c r="AB125" s="15" t="b">
        <x:v>0</x:v>
      </x:c>
      <x:c r="AC125" t="str">
        <x:v>Spodoptera|XP_050551669.1</x:v>
      </x:c>
      <x:c r="AD125" s="19" t="n">
        <x:v>6.04e-70</x:v>
      </x:c>
      <x:c r="AE125" t="n">
        <x:v>221</x:v>
      </x:c>
      <x:c r="AF125" t="n">
        <x:v>70.504</x:v>
      </x:c>
      <x:c r="AG125" t="n">
        <x:v>100.725</x:v>
      </x:c>
      <x:c r="AH125" t="n">
        <x:v>3.42365</x:v>
      </x:c>
      <x:c r="AI125" t="str">
        <x:v>sp|Q86UQ4|ABCAD_HUMAN</x:v>
      </x:c>
      <x:c r="AJ125" t="str">
        <x:v>sp|Q86UQ4|ABCAD_HUMAN ATP-binding cassette sub-family A member 13 OS=Homo sapiens OX=9606 GN=ABCA13 PE=1 SV=4</x:v>
      </x:c>
      <x:c r="AK125" s="19" t="n">
        <x:v>2.1e-13</x:v>
      </x:c>
      <x:c r="AL125" t="n">
        <x:v>69.3</x:v>
      </x:c>
      <x:c r="AM125" t="n">
        <x:v>53.8</x:v>
      </x:c>
      <x:c r="AN125" t="n">
        <x:v>37.68115942028985</x:v>
      </x:c>
      <x:c r="AO125" t="n">
        <x:v>1.0280743376828787</x:v>
      </x:c>
      <x:c r="AP125" t="n">
        <x:v>0</x:v>
      </x:c>
      <x:c r="AQ125" t="n">
        <x:v>0</x:v>
      </x:c>
      <x:c r="AR125" t="str">
        <x:v>ABC_C019</x:v>
      </x:c>
      <x:c r="AS125" t="n">
        <x:v>1</x:v>
      </x:c>
      <x:c r="AT125" s="17" t="n">
        <x:f>AVERAGE(E125:G125)</x:f>
        <x:v>0.06447333333333334</x:v>
      </x:c>
      <x:c r="AU125" s="17" t="n">
        <x:f>STDEV.S(E125:G125)</x:f>
        <x:v>0.05671745236109723</x:v>
      </x:c>
      <x:c r="AV125" s="17" t="n">
        <x:f>AVERAGE(H125:J125)</x:f>
        <x:v>0.036607</x:v>
      </x:c>
      <x:c r="AW125" s="17" t="n">
        <x:f>STDEV.S(H125:J125)</x:f>
        <x:v>0.031719531348996945</x:v>
      </x:c>
      <x:c r="AX125" s="17" t="n">
        <x:f>AV125-AT125</x:f>
        <x:v>-0.02786633333333334</x:v>
      </x:c>
      <x:c r="AY125" s="17" t="n">
        <x:f>LOG((AV125+1)/(AT125+1),2)</x:f>
        <x:v>-0.03827076745095979</x:v>
      </x:c>
      <x:c r="AZ125" s="17" t="n">
        <x:f>AVERAGE(E125:J125)</x:f>
        <x:v>0.050540166666666664</x:v>
      </x:c>
      <x:c r="BA125" s="17" t="n">
        <x:f>MAX(E125:J125)</x:f>
        <x:v>0.106673</x:v>
      </x:c>
      <x:c r="BB125" s="20" t="n">
        <x:f>IF(Q125="provisional_HQ_domain",2,0)+IF(Y125,1,0)+IF(AB125,1,0)+IF(AI125&lt;&gt;"",1,0)+IF(AP125+AQ125&gt;0,1,0)</x:f>
        <x:v>1</x:v>
      </x:c>
      <x:c r="BC125" t="str">
        <x:f>IF(OR(ISNUMBER(SEARCH("exclude",U125)),ISNUMBER(SEARCH("hold",U125)),ISNUMBER(SEARCH("hold",W125))),"Review",IF(BB125&gt;=5,"Strong multi-evidence",IF(BB125&gt;=3,"Supported","Weak/inspect")))</x:f>
        <x:v>Review</x:v>
      </x:c>
    </x:row>
    <x:row r="126">
      <x:c r="A126" t="str">
        <x:v>ABC</x:v>
      </x:c>
      <x:c r="B126" t="str">
        <x:v>TRINITY_DN49408_c0_g1</x:v>
      </x:c>
      <x:c r="C126" t="str">
        <x:v>no</x:v>
      </x:c>
      <x:c r="D126" t="n">
        <x:v>2</x:v>
      </x:c>
      <x:c r="E126" s="17" t="n">
        <x:v>0</x:v>
      </x:c>
      <x:c r="F126" s="17" t="n">
        <x:v>0.133642</x:v>
      </x:c>
      <x:c r="G126" s="17" t="n">
        <x:v>0.076863</x:v>
      </x:c>
      <x:c r="H126" s="17" t="n">
        <x:v>0.210079</x:v>
      </x:c>
      <x:c r="I126" s="17" t="n">
        <x:v>0.045363</x:v>
      </x:c>
      <x:c r="J126" s="17" t="n">
        <x:v>0</x:v>
      </x:c>
      <x:c r="K126" s="17" t="n">
        <x:v>0.07598126000000001</x:v>
      </x:c>
      <x:c r="L126" s="17" t="n">
        <x:v>0.09220115999999999</x:v>
      </x:c>
      <x:c r="M126" s="17" t="n">
        <x:v>0.01621989999999998</x:v>
      </x:c>
      <x:c r="N126" s="18"/>
      <x:c r="O126" t="str">
        <x:v>TRINITY_DN49408_c0_g1_i1.p1</x:v>
      </x:c>
      <x:c r="P126" t="n">
        <x:v>151</x:v>
      </x:c>
      <x:c r="Q126" t="str">
        <x:v>review</x:v>
      </x:c>
      <x:c r="R126" t="str">
        <x:v>NBD_only_or_TMD_not_detected</x:v>
      </x:c>
      <x:c r="S126" t="str">
        <x:v>IPR003439;PF00005</x:v>
      </x:c>
      <x:c r="T126" t="str">
        <x:v>ABC transporter;ABC transporter-like, ATP-binding domain</x:v>
      </x:c>
      <x:c r="U126" t="str">
        <x:v>hold_ABC_fragment_review</x:v>
      </x:c>
      <x:c r="V126" t="str">
        <x:v>partial ABC architecture; requires isoform/homology inspection</x:v>
      </x:c>
      <x:c r="W126" t="str">
        <x:v>hold_for_targeted_homology_or_assembly_review</x:v>
      </x:c>
      <x:c r="X126" t="str">
        <x:v>current isoforms do not unite sufficient sequence and architecture evidence</x:v>
      </x:c>
      <x:c r="Y126" s="15" t="b">
        <x:v>1</x:v>
      </x:c>
      <x:c r="Z126" s="15" t="b">
        <x:v>0</x:v>
      </x:c>
      <x:c r="AA126" s="15" t="b">
        <x:v>1</x:v>
      </x:c>
      <x:c r="AB126" s="15" t="b">
        <x:v>0</x:v>
      </x:c>
      <x:c r="AC126" t="str">
        <x:v>Spodoptera|XP_050561948.1</x:v>
      </x:c>
      <x:c r="AD126" s="19" t="n">
        <x:v>3.22e-93</x:v>
      </x:c>
      <x:c r="AE126" t="n">
        <x:v>276</x:v>
      </x:c>
      <x:c r="AF126" t="n">
        <x:v>90.066</x:v>
      </x:c>
      <x:c r="AG126" t="n">
        <x:v>100</x:v>
      </x:c>
      <x:c r="AH126" t="n">
        <x:v>24.1214</x:v>
      </x:c>
      <x:c r="AI126" t="str">
        <x:v>sp|P45844|ABCG1_HUMAN</x:v>
      </x:c>
      <x:c r="AJ126" t="str">
        <x:v>sp|P45844|ABCG1_HUMAN ATP-binding cassette sub-family G member 1 OS=Homo sapiens OX=9606 GN=ABCG1 PE=1 SV=3</x:v>
      </x:c>
      <x:c r="AK126" s="19" t="n">
        <x:v>2.84e-22</x:v>
      </x:c>
      <x:c r="AL126" t="n">
        <x:v>95.1</x:v>
      </x:c>
      <x:c r="AM126" t="n">
        <x:v>46.8</x:v>
      </x:c>
      <x:c r="AN126" t="n">
        <x:v>82.11920529801324</x:v>
      </x:c>
      <x:c r="AO126" t="n">
        <x:v>18.289085545722713</x:v>
      </x:c>
      <x:c r="AP126" t="n">
        <x:v>0</x:v>
      </x:c>
      <x:c r="AQ126" t="n">
        <x:v>0</x:v>
      </x:c>
      <x:c r="AR126" t="str">
        <x:v>ABC_C020</x:v>
      </x:c>
      <x:c r="AS126" t="n">
        <x:v>1</x:v>
      </x:c>
      <x:c r="AT126" s="17" t="n">
        <x:f>AVERAGE(E126:G126)</x:f>
        <x:v>0.07016833333333333</x:v>
      </x:c>
      <x:c r="AU126" s="17" t="n">
        <x:f>STDEV.S(E126:G126)</x:f>
        <x:v>0.06707205053025689</x:v>
      </x:c>
      <x:c r="AV126" s="17" t="n">
        <x:f>AVERAGE(H126:J126)</x:f>
        <x:v>0.08514733333333334</x:v>
      </x:c>
      <x:c r="AW126" s="17" t="n">
        <x:f>STDEV.S(H126:J126)</x:f>
        <x:v>0.11054587936387919</x:v>
      </x:c>
      <x:c r="AX126" s="17" t="n">
        <x:f>AV126-AT126</x:f>
        <x:v>0.014979000000000006</x:v>
      </x:c>
      <x:c r="AY126" s="17" t="n">
        <x:f>LOG((AV126+1)/(AT126+1),2)</x:f>
        <x:v>0.02005318968561619</x:v>
      </x:c>
      <x:c r="AZ126" s="17" t="n">
        <x:f>AVERAGE(E126:J126)</x:f>
        <x:v>0.07765783333333333</x:v>
      </x:c>
      <x:c r="BA126" s="17" t="n">
        <x:f>MAX(E126:J126)</x:f>
        <x:v>0.210079</x:v>
      </x:c>
      <x:c r="BB126" s="20" t="n">
        <x:f>IF(Q126="provisional_HQ_domain",2,0)+IF(Y126,1,0)+IF(AB126,1,0)+IF(AI126&lt;&gt;"",1,0)+IF(AP126+AQ126&gt;0,1,0)</x:f>
        <x:v>2</x:v>
      </x:c>
      <x:c r="BC126" t="str">
        <x:f>IF(OR(ISNUMBER(SEARCH("exclude",U126)),ISNUMBER(SEARCH("hold",U126)),ISNUMBER(SEARCH("hold",W126))),"Review",IF(BB126&gt;=5,"Strong multi-evidence",IF(BB126&gt;=3,"Supported","Weak/inspect")))</x:f>
        <x:v>Review</x:v>
      </x:c>
    </x:row>
    <x:row r="127">
      <x:c r="A127" t="str">
        <x:v>ABC</x:v>
      </x:c>
      <x:c r="B127" t="str">
        <x:v>TRINITY_DN5175_c0_g1</x:v>
      </x:c>
      <x:c r="C127" t="str">
        <x:v>yes</x:v>
      </x:c>
      <x:c r="D127" t="n">
        <x:v>5</x:v>
      </x:c>
      <x:c r="E127" s="17" t="n">
        <x:v>1.78144</x:v>
      </x:c>
      <x:c r="F127" s="17" t="n">
        <x:v>0.436737</x:v>
      </x:c>
      <x:c r="G127" s="17" t="n">
        <x:v>1.065753</x:v>
      </x:c>
      <x:c r="H127" s="17" t="n">
        <x:v>1.572031</x:v>
      </x:c>
      <x:c r="I127" s="17" t="n">
        <x:v>0.928906</x:v>
      </x:c>
      <x:c r="J127" s="17" t="n">
        <x:v>0.48626199999999997</x:v>
      </x:c>
      <x:c r="K127" s="17" t="n">
        <x:v>1.0019722999999998</x:v>
      </x:c>
      <x:c r="L127" s="17" t="n">
        <x:v>0.981251894</x:v>
      </x:c>
      <x:c r="M127" s="17" t="n">
        <x:v>-0.020720405999999802</x:v>
      </x:c>
      <x:c r="N127" s="18" t="n">
        <x:v>0.913728592747405</x:v>
      </x:c>
      <x:c r="O127" t="str">
        <x:v>TRINITY_DN5175_c0_g1_i3.p1</x:v>
      </x:c>
      <x:c r="P127" t="n">
        <x:v>722</x:v>
      </x:c>
      <x:c r="Q127" t="str">
        <x:v>review</x:v>
      </x:c>
      <x:c r="R127" t="str">
        <x:v>NBD_only_or_TMD_not_detected</x:v>
      </x:c>
      <x:c r="S127" t="str">
        <x:v>IPR003439;PF00005;PF12698</x:v>
      </x:c>
      <x:c r="T127" t="str">
        <x:v>ABC transporter;ABC transporter-like, ATP-binding domain;ABC-2 family transporter protein</x:v>
      </x:c>
      <x:c r="U127" t="str">
        <x:v>retain_ABC_fragment_or_partial</x:v>
      </x:c>
      <x:c r="V127" t="str">
        <x:v>historical homology plus partial ABC architecture; inspect isoforms before nomenclature</x:v>
      </x:c>
      <x:c r="W127" t="str">
        <x:v>retain_sequence_supported_ABC</x:v>
      </x:c>
      <x:c r="X127" t="str">
        <x:v>Walker A, ABC signature, and hydrophobic segments co-occur in one isoform</x:v>
      </x:c>
      <x:c r="Y127" s="15" t="b">
        <x:v>1</x:v>
      </x:c>
      <x:c r="Z127" s="15" t="b">
        <x:v>0</x:v>
      </x:c>
      <x:c r="AA127" s="15" t="b">
        <x:v>1</x:v>
      </x:c>
      <x:c r="AB127" s="15" t="b">
        <x:v>1</x:v>
      </x:c>
      <x:c r="AC127" t="str">
        <x:v>Spodoptera|XP_050554087.1</x:v>
      </x:c>
      <x:c r="AD127" s="19" t="n">
        <x:v>0</x:v>
      </x:c>
      <x:c r="AE127" t="n">
        <x:v>1360</x:v>
      </x:c>
      <x:c r="AF127" t="n">
        <x:v>90.707</x:v>
      </x:c>
      <x:c r="AG127" t="n">
        <x:v>100</x:v>
      </x:c>
      <x:c r="AH127" t="n">
        <x:v>100.139</x:v>
      </x:c>
      <x:c r="AI127" t="str">
        <x:v>sp|Q55EH8|ABCGN_DICDI</x:v>
      </x:c>
      <x:c r="AJ127" t="str">
        <x:v>sp|Q55EH8|ABCGN_DICDI ABC transporter G family member 23 OS=Dictyostelium discoideum OX=44689 GN=abcG23 PE=3 SV=2</x:v>
      </x:c>
      <x:c r="AK127" s="19" t="n">
        <x:v>3.08e-78</x:v>
      </x:c>
      <x:c r="AL127" t="n">
        <x:v>268</x:v>
      </x:c>
      <x:c r="AM127" t="n">
        <x:v>28.1</x:v>
      </x:c>
      <x:c r="AN127" t="n">
        <x:v>97.36477115117891</x:v>
      </x:c>
      <x:c r="AO127" t="n">
        <x:v>100.14265335235378</x:v>
      </x:c>
      <x:c r="AP127" t="n">
        <x:v>0</x:v>
      </x:c>
      <x:c r="AQ127" t="n">
        <x:v>0</x:v>
      </x:c>
      <x:c r="AR127" t="str">
        <x:v>ABC_C005</x:v>
      </x:c>
      <x:c r="AS127" t="n">
        <x:v>3</x:v>
      </x:c>
      <x:c r="AT127" s="17" t="n">
        <x:f>AVERAGE(E127:G127)</x:f>
        <x:v>1.0946433333333332</x:v>
      </x:c>
      <x:c r="AU127" s="17" t="n">
        <x:f>STDEV.S(E127:G127)</x:f>
        <x:v>0.672816860722391</x:v>
      </x:c>
      <x:c r="AV127" s="17" t="n">
        <x:f>AVERAGE(H127:J127)</x:f>
        <x:v>0.995733</x:v>
      </x:c>
      <x:c r="AW127" s="17" t="n">
        <x:f>STDEV.S(H127:J127)</x:f>
        <x:v>0.5459605904156453</x:v>
      </x:c>
      <x:c r="AX127" s="17" t="n">
        <x:f>AV127-AT127</x:f>
        <x:v>-0.09891033333333321</x:v>
      </x:c>
      <x:c r="AY127" s="17" t="n">
        <x:f>LOG((AV127+1)/(AT127+1),2)</x:f>
        <x:v>-0.06978588705498681</x:v>
      </x:c>
      <x:c r="AZ127" s="17" t="n">
        <x:f>AVERAGE(E127:J127)</x:f>
        <x:v>1.0451881666666667</x:v>
      </x:c>
      <x:c r="BA127" s="17" t="n">
        <x:f>MAX(E127:J127)</x:f>
        <x:v>1.78144</x:v>
      </x:c>
      <x:c r="BB127" s="20" t="n">
        <x:f>IF(Q127="provisional_HQ_domain",2,0)+IF(Y127,1,0)+IF(AB127,1,0)+IF(AI127&lt;&gt;"",1,0)+IF(AP127+AQ127&gt;0,1,0)</x:f>
        <x:v>3</x:v>
      </x:c>
      <x:c r="BC127" t="str">
        <x:f>IF(OR(ISNUMBER(SEARCH("exclude",U127)),ISNUMBER(SEARCH("hold",U127)),ISNUMBER(SEARCH("hold",W127))),"Review",IF(BB127&gt;=5,"Strong multi-evidence",IF(BB127&gt;=3,"Supported","Weak/inspect")))</x:f>
        <x:v>Supported</x:v>
      </x:c>
    </x:row>
    <x:row r="128">
      <x:c r="A128" t="str">
        <x:v>ABC</x:v>
      </x:c>
      <x:c r="B128" t="str">
        <x:v>TRINITY_DN5424_c0_g1</x:v>
      </x:c>
      <x:c r="C128" t="str">
        <x:v>yes</x:v>
      </x:c>
      <x:c r="D128" t="n">
        <x:v>1</x:v>
      </x:c>
      <x:c r="E128" s="17" t="n">
        <x:v>4.162274</x:v>
      </x:c>
      <x:c r="F128" s="17" t="n">
        <x:v>7.924821</x:v>
      </x:c>
      <x:c r="G128" s="17" t="n">
        <x:v>3.777871</x:v>
      </x:c>
      <x:c r="H128" s="17" t="n">
        <x:v>9.915191</x:v>
      </x:c>
      <x:c r="I128" s="17" t="n">
        <x:v>8.201632</x:v>
      </x:c>
      <x:c r="J128" s="17" t="n">
        <x:v>8.247986</x:v>
      </x:c>
      <x:c r="K128" s="17" t="n">
        <x:v>4.6048332</x:v>
      </x:c>
      <x:c r="L128" s="17" t="n">
        <x:v>7.1900314</x:v>
      </x:c>
      <x:c r="M128" s="17" t="n">
        <x:v>2.5851982</x:v>
      </x:c>
      <x:c r="N128" s="18" t="n">
        <x:v>0.999999010765626</x:v>
      </x:c>
      <x:c r="O128" t="str">
        <x:v>TRINITY_DN5424_c0_g1_i1.p1</x:v>
      </x:c>
      <x:c r="P128" t="n">
        <x:v>1366</x:v>
      </x:c>
      <x:c r="Q128" t="str">
        <x:v>provisional_HQ_domain</x:v>
      </x:c>
      <x:c r="R128" t="str">
        <x:v>NBD_and_TMD_evidence</x:v>
      </x:c>
      <x:c r="S128" t="str">
        <x:v>IPR003439;IPR011527;PF00005;PF00664</x:v>
      </x:c>
      <x:c r="T128" t="str">
        <x:v>ABC transporter;ABC transporter transmembrane region;ABC transporter type 1, transmembrane domain;ABC transporter-like, ATP-binding domain</x:v>
      </x:c>
      <x:c r="U128"/>
      <x:c r="V128"/>
      <x:c r="W128"/>
      <x:c r="X128"/>
      <x:c r="Y128" s="15" t="b">
        <x:v>1</x:v>
      </x:c>
      <x:c r="Z128" s="15" t="b">
        <x:v>0</x:v>
      </x:c>
      <x:c r="AA128" s="15" t="b">
        <x:v>1</x:v>
      </x:c>
      <x:c r="AB128" s="15" t="b">
        <x:v>1</x:v>
      </x:c>
      <x:c r="AC128" t="str">
        <x:v>Spodoptera|XP_050553760.1</x:v>
      </x:c>
      <x:c r="AD128" s="19" t="n">
        <x:v>0</x:v>
      </x:c>
      <x:c r="AE128" t="n">
        <x:v>2450</x:v>
      </x:c>
      <x:c r="AF128" t="n">
        <x:v>86.716</x:v>
      </x:c>
      <x:c r="AG128" t="n">
        <x:v>98.1685</x:v>
      </x:c>
      <x:c r="AH128" t="n">
        <x:v>98.6019</x:v>
      </x:c>
      <x:c r="AI128" t="str">
        <x:v>sp|F1M3J4|MRP4_RAT</x:v>
      </x:c>
      <x:c r="AJ128" t="str">
        <x:v>sp|F1M3J4|MRP4_RAT ATP-binding cassette subfamily C member 4 OS=Rattus norvegicus OX=10116 GN=Abcc4 PE=1 SV=3</x:v>
      </x:c>
      <x:c r="AK128" s="19" t="n">
        <x:v>1.73e-308</x:v>
      </x:c>
      <x:c r="AL128" t="n">
        <x:v>908</x:v>
      </x:c>
      <x:c r="AM128" t="n">
        <x:v>39.8</x:v>
      </x:c>
      <x:c r="AN128" t="n">
        <x:v>99.04761904761905</x:v>
      </x:c>
      <x:c r="AO128" t="n">
        <x:v>102.0377358490566</x:v>
      </x:c>
      <x:c r="AP128" t="n">
        <x:v>0</x:v>
      </x:c>
      <x:c r="AQ128" t="n">
        <x:v>0</x:v>
      </x:c>
      <x:c r="AR128" t="str">
        <x:v>ABC_C001</x:v>
      </x:c>
      <x:c r="AS128" t="n">
        <x:v>11</x:v>
      </x:c>
      <x:c r="AT128" s="17" t="n">
        <x:f>AVERAGE(E128:G128)</x:f>
        <x:v>5.288322</x:v>
      </x:c>
      <x:c r="AU128" s="17" t="n">
        <x:f>STDEV.S(E128:G128)</x:f>
        <x:v>2.291350398641159</x:v>
      </x:c>
      <x:c r="AV128" s="17" t="n">
        <x:f>AVERAGE(H128:J128)</x:f>
        <x:v>8.788269666666666</x:v>
      </x:c>
      <x:c r="AW128" s="17" t="n">
        <x:f>STDEV.S(H128:J128)</x:f>
        <x:v>0.9762176714085511</x:v>
      </x:c>
      <x:c r="AX128" s="17" t="n">
        <x:f>AV128-AT128</x:f>
        <x:v>3.4999476666666665</x:v>
      </x:c>
      <x:c r="AY128" s="17" t="n">
        <x:f>LOG((AV128+1)/(AT128+1),2)</x:f>
        <x:v>0.6383787540168198</x:v>
      </x:c>
      <x:c r="AZ128" s="17" t="n">
        <x:f>AVERAGE(E128:J128)</x:f>
        <x:v>7.038295833333333</x:v>
      </x:c>
      <x:c r="BA128" s="17" t="n">
        <x:f>MAX(E128:J128)</x:f>
        <x:v>9.915191</x:v>
      </x:c>
      <x:c r="BB128" s="20" t="n">
        <x:f>IF(Q128="provisional_HQ_domain",2,0)+IF(Y128,1,0)+IF(AB128,1,0)+IF(AI128&lt;&gt;"",1,0)+IF(AP128+AQ128&gt;0,1,0)</x:f>
        <x:v>5</x:v>
      </x:c>
      <x:c r="BC128" t="str">
        <x:f>IF(OR(ISNUMBER(SEARCH("exclude",U128)),ISNUMBER(SEARCH("hold",U128)),ISNUMBER(SEARCH("hold",W128))),"Review",IF(BB128&gt;=5,"Strong multi-evidence",IF(BB128&gt;=3,"Supported","Weak/inspect")))</x:f>
        <x:v>Strong multi-evidence</x:v>
      </x:c>
    </x:row>
    <x:row r="129">
      <x:c r="A129" t="str">
        <x:v>ABC</x:v>
      </x:c>
      <x:c r="B129" t="str">
        <x:v>TRINITY_DN54_c0_g1</x:v>
      </x:c>
      <x:c r="C129" t="str">
        <x:v>yes</x:v>
      </x:c>
      <x:c r="D129" t="n">
        <x:v>7</x:v>
      </x:c>
      <x:c r="E129" s="17" t="n">
        <x:v>7.144372</x:v>
      </x:c>
      <x:c r="F129" s="17" t="n">
        <x:v>9.320689999999999</x:v>
      </x:c>
      <x:c r="G129" s="17" t="n">
        <x:v>6.780251</x:v>
      </x:c>
      <x:c r="H129" s="17" t="n">
        <x:v>8.252545</x:v>
      </x:c>
      <x:c r="I129" s="17" t="n">
        <x:v>9.891909</x:v>
      </x:c>
      <x:c r="J129" s="17" t="n">
        <x:v>6.133763</x:v>
      </x:c>
      <x:c r="K129" s="17" t="n">
        <x:v>6.91348794</x:v>
      </x:c>
      <x:c r="L129" s="17" t="n">
        <x:v>6.8413791</x:v>
      </x:c>
      <x:c r="M129" s="17" t="n">
        <x:v>-0.07210884000000028</x:v>
      </x:c>
      <x:c r="N129" s="18" t="n">
        <x:v>1.54628797476497e-8</x:v>
      </x:c>
      <x:c r="O129" t="str">
        <x:v>TRINITY_DN54_c0_g1_i1.p1</x:v>
      </x:c>
      <x:c r="P129" t="n">
        <x:v>1379</x:v>
      </x:c>
      <x:c r="Q129" t="str">
        <x:v>provisional_HQ_domain</x:v>
      </x:c>
      <x:c r="R129" t="str">
        <x:v>NBD_and_TMD_evidence</x:v>
      </x:c>
      <x:c r="S129" t="str">
        <x:v>IPR003439;IPR011527;PF00005;PF00664</x:v>
      </x:c>
      <x:c r="T129" t="str">
        <x:v>ABC transporter;ABC transporter transmembrane region;ABC transporter type 1, transmembrane domain;ABC transporter-like, ATP-binding domain</x:v>
      </x:c>
      <x:c r="U129"/>
      <x:c r="V129"/>
      <x:c r="W129"/>
      <x:c r="X129"/>
      <x:c r="Y129" s="15" t="b">
        <x:v>1</x:v>
      </x:c>
      <x:c r="Z129" s="15" t="b">
        <x:v>0</x:v>
      </x:c>
      <x:c r="AA129" s="15" t="b">
        <x:v>1</x:v>
      </x:c>
      <x:c r="AB129" s="15" t="b">
        <x:v>1</x:v>
      </x:c>
      <x:c r="AC129" t="str">
        <x:v>Spodoptera|XP_050549297.1</x:v>
      </x:c>
      <x:c r="AD129" s="19" t="n">
        <x:v>0</x:v>
      </x:c>
      <x:c r="AE129" t="n">
        <x:v>2277</x:v>
      </x:c>
      <x:c r="AF129" t="n">
        <x:v>82.455</x:v>
      </x:c>
      <x:c r="AG129" t="n">
        <x:v>100.508</x:v>
      </x:c>
      <x:c r="AH129" t="n">
        <x:v>101.169</x:v>
      </x:c>
      <x:c r="AI129" t="str">
        <x:v>sp|E9Q236|MRP4_MOUSE</x:v>
      </x:c>
      <x:c r="AJ129" t="str">
        <x:v>sp|E9Q236|MRP4_MOUSE ATP-binding cassette sub-family C member 4 OS=Mus musculus OX=10090 GN=Abcc4 PE=1 SV=1</x:v>
      </x:c>
      <x:c r="AK129" s="19" t="n">
        <x:v>1.03e-307</x:v>
      </x:c>
      <x:c r="AL129" t="n">
        <x:v>906</x:v>
      </x:c>
      <x:c r="AM129" t="n">
        <x:v>38.8</x:v>
      </x:c>
      <x:c r="AN129" t="n">
        <x:v>100.36284470246734</x:v>
      </x:c>
      <x:c r="AO129" t="n">
        <x:v>104.37735849056604</x:v>
      </x:c>
      <x:c r="AP129" t="n">
        <x:v>0</x:v>
      </x:c>
      <x:c r="AQ129" t="n">
        <x:v>0</x:v>
      </x:c>
      <x:c r="AR129" t="str">
        <x:v>ABC_C001</x:v>
      </x:c>
      <x:c r="AS129" t="n">
        <x:v>11</x:v>
      </x:c>
      <x:c r="AT129" s="17" t="n">
        <x:f>AVERAGE(E129:G129)</x:f>
        <x:v>7.748437666666667</x:v>
      </x:c>
      <x:c r="AU129" s="17" t="n">
        <x:f>STDEV.S(E129:G129)</x:f>
        <x:v>1.373728166492313</x:v>
      </x:c>
      <x:c r="AV129" s="17" t="n">
        <x:f>AVERAGE(H129:J129)</x:f>
        <x:v>8.092739</x:v>
      </x:c>
      <x:c r="AW129" s="17" t="n">
        <x:f>STDEV.S(H129:J129)</x:f>
        <x:v>1.884162627682653</x:v>
      </x:c>
      <x:c r="AX129" s="17" t="n">
        <x:f>AV129-AT129</x:f>
        <x:v>0.3443013333333331</x:v>
      </x:c>
      <x:c r="AY129" s="17" t="n">
        <x:f>LOG((AV129+1)/(AT129+1),2)</x:f>
        <x:v>0.055689544688369334</x:v>
      </x:c>
      <x:c r="AZ129" s="17" t="n">
        <x:f>AVERAGE(E129:J129)</x:f>
        <x:v>7.920588333333334</x:v>
      </x:c>
      <x:c r="BA129" s="17" t="n">
        <x:f>MAX(E129:J129)</x:f>
        <x:v>9.891909</x:v>
      </x:c>
      <x:c r="BB129" s="20" t="n">
        <x:f>IF(Q129="provisional_HQ_domain",2,0)+IF(Y129,1,0)+IF(AB129,1,0)+IF(AI129&lt;&gt;"",1,0)+IF(AP129+AQ129&gt;0,1,0)</x:f>
        <x:v>5</x:v>
      </x:c>
      <x:c r="BC129" t="str">
        <x:f>IF(OR(ISNUMBER(SEARCH("exclude",U129)),ISNUMBER(SEARCH("hold",U129)),ISNUMBER(SEARCH("hold",W129))),"Review",IF(BB129&gt;=5,"Strong multi-evidence",IF(BB129&gt;=3,"Supported","Weak/inspect")))</x:f>
        <x:v>Strong multi-evidence</x:v>
      </x:c>
    </x:row>
    <x:row r="130">
      <x:c r="A130" t="str">
        <x:v>ABC</x:v>
      </x:c>
      <x:c r="B130" t="str">
        <x:v>TRINITY_DN58313_c0_g1</x:v>
      </x:c>
      <x:c r="C130" t="str">
        <x:v>no</x:v>
      </x:c>
      <x:c r="D130" t="n">
        <x:v>1</x:v>
      </x:c>
      <x:c r="E130" s="17" t="n">
        <x:v>0</x:v>
      </x:c>
      <x:c r="F130" s="17" t="n">
        <x:v>0.222164</x:v>
      </x:c>
      <x:c r="G130" s="17" t="n">
        <x:v>0</x:v>
      </x:c>
      <x:c r="H130" s="17" t="n">
        <x:v>0</x:v>
      </x:c>
      <x:c r="I130" s="17" t="n">
        <x:v>0</x:v>
      </x:c>
      <x:c r="J130" s="17" t="n">
        <x:v>0</x:v>
      </x:c>
      <x:c r="K130" s="17" t="n">
        <x:v>0.08018954</x:v>
      </x:c>
      <x:c r="L130" s="17" t="n">
        <x:v>0</x:v>
      </x:c>
      <x:c r="M130" s="17" t="n">
        <x:v>-0.08018954</x:v>
      </x:c>
      <x:c r="N130" s="18"/>
      <x:c r="O130" t="str">
        <x:v>TRINITY_DN58313_c0_g1_i1.p1</x:v>
      </x:c>
      <x:c r="P130" t="n">
        <x:v>104</x:v>
      </x:c>
      <x:c r="Q130" t="str">
        <x:v>review</x:v>
      </x:c>
      <x:c r="R130" t="str">
        <x:v>no_family_defining_domain_in_current_core_table</x:v>
      </x:c>
      <x:c r="S130" t="str">
        <x:v>none</x:v>
      </x:c>
      <x:c r="T130" t="str">
        <x:v>none</x:v>
      </x:c>
      <x:c r="U130" t="str">
        <x:v>exclude_from_current_ABC_rough_set</x:v>
      </x:c>
      <x:c r="V130" t="str">
        <x:v>no defining ABC domain in the current core table and no historical support</x:v>
      </x:c>
      <x:c r="W130"/>
      <x:c r="X130"/>
      <x:c r="Y130" s="15" t="b">
        <x:v>1</x:v>
      </x:c>
      <x:c r="Z130" s="15" t="b">
        <x:v>0</x:v>
      </x:c>
      <x:c r="AA130" s="15" t="b">
        <x:v>1</x:v>
      </x:c>
      <x:c r="AB130" s="15" t="b">
        <x:v>0</x:v>
      </x:c>
      <x:c r="AC130" t="str">
        <x:v>Spodoptera|XP_050551669.1</x:v>
      </x:c>
      <x:c r="AD130" s="19" t="n">
        <x:v>1.34e-53</x:v>
      </x:c>
      <x:c r="AE130" t="n">
        <x:v>173</x:v>
      </x:c>
      <x:c r="AF130" t="n">
        <x:v>75</x:v>
      </x:c>
      <x:c r="AG130" t="n">
        <x:v>100</x:v>
      </x:c>
      <x:c r="AH130" t="n">
        <x:v>2.56158</x:v>
      </x:c>
      <x:c r="AI130" t="str">
        <x:v>sp|Q7TNJ2|ABCA7_RAT</x:v>
      </x:c>
      <x:c r="AJ130" t="str">
        <x:v>sp|Q7TNJ2|ABCA7_RAT ATP-binding cassette sub-family A member 7 OS=Rattus norvegicus OX=10116 GN=Abca7 PE=1 SV=1</x:v>
      </x:c>
      <x:c r="AK130" s="19" t="n">
        <x:v>9.65e-10</x:v>
      </x:c>
      <x:c r="AL130" t="n">
        <x:v>57.4</x:v>
      </x:c>
      <x:c r="AM130" t="n">
        <x:v>36</x:v>
      </x:c>
      <x:c r="AN130" t="n">
        <x:v>85.57692307692308</x:v>
      </x:c>
      <x:c r="AO130" t="n">
        <x:v>4.1013824884792625</x:v>
      </x:c>
      <x:c r="AP130" t="n">
        <x:v>0</x:v>
      </x:c>
      <x:c r="AQ130" t="n">
        <x:v>0</x:v>
      </x:c>
      <x:c r="AR130" t="str">
        <x:v>ABC_C021</x:v>
      </x:c>
      <x:c r="AS130" t="n">
        <x:v>1</x:v>
      </x:c>
      <x:c r="AT130" s="17" t="n">
        <x:f>AVERAGE(E130:G130)</x:f>
        <x:v>0.07405466666666667</x:v>
      </x:c>
      <x:c r="AU130" s="17" t="n">
        <x:f>STDEV.S(E130:G130)</x:f>
        <x:v>0.12826644520424402</x:v>
      </x:c>
      <x:c r="AV130" s="17" t="n">
        <x:f>AVERAGE(H130:J130)</x:f>
        <x:v>0</x:v>
      </x:c>
      <x:c r="AW130" s="17" t="n">
        <x:f>STDEV.S(H130:J130)</x:f>
        <x:v>0</x:v>
      </x:c>
      <x:c r="AX130" s="17" t="n">
        <x:f>AV130-AT130</x:f>
        <x:v>-0.07405466666666667</x:v>
      </x:c>
      <x:c r="AY130" s="17" t="n">
        <x:f>LOG((AV130+1)/(AT130+1),2)</x:f>
        <x:v>-0.103067424721644</x:v>
      </x:c>
      <x:c r="AZ130" s="17" t="n">
        <x:f>AVERAGE(E130:J130)</x:f>
        <x:v>0.037027333333333336</x:v>
      </x:c>
      <x:c r="BA130" s="17" t="n">
        <x:f>MAX(E130:J130)</x:f>
        <x:v>0.222164</x:v>
      </x:c>
      <x:c r="BB130" s="20" t="n">
        <x:f>IF(Q130="provisional_HQ_domain",2,0)+IF(Y130,1,0)+IF(AB130,1,0)+IF(AI130&lt;&gt;"",1,0)+IF(AP130+AQ130&gt;0,1,0)</x:f>
        <x:v>2</x:v>
      </x:c>
      <x:c r="BC130" t="str">
        <x:f>IF(OR(ISNUMBER(SEARCH("exclude",U130)),ISNUMBER(SEARCH("hold",U130)),ISNUMBER(SEARCH("hold",W130))),"Review",IF(BB130&gt;=5,"Strong multi-evidence",IF(BB130&gt;=3,"Supported","Weak/inspect")))</x:f>
        <x:v>Review</x:v>
      </x:c>
    </x:row>
    <x:row r="131">
      <x:c r="A131" t="str">
        <x:v>ABC</x:v>
      </x:c>
      <x:c r="B131" t="str">
        <x:v>TRINITY_DN662_c0_g1</x:v>
      </x:c>
      <x:c r="C131" t="str">
        <x:v>yes</x:v>
      </x:c>
      <x:c r="D131" t="n">
        <x:v>4</x:v>
      </x:c>
      <x:c r="E131" s="17" t="n">
        <x:v>1.957451</x:v>
      </x:c>
      <x:c r="F131" s="17" t="n">
        <x:v>2.6105840000000002</x:v>
      </x:c>
      <x:c r="G131" s="17" t="n">
        <x:v>2.646461</x:v>
      </x:c>
      <x:c r="H131" s="17" t="n">
        <x:v>3.196561</x:v>
      </x:c>
      <x:c r="I131" s="17" t="n">
        <x:v>3.785438</x:v>
      </x:c>
      <x:c r="J131" s="17" t="n">
        <x:v>2.860192</x:v>
      </x:c>
      <x:c r="K131" s="17" t="n">
        <x:v>2.11595156</x:v>
      </x:c>
      <x:c r="L131" s="17" t="n">
        <x:v>2.7368449999999998</x:v>
      </x:c>
      <x:c r="M131" s="17" t="n">
        <x:v>0.6208934399999997</x:v>
      </x:c>
      <x:c r="N131" s="18" t="n">
        <x:v>0.999999010765626</x:v>
      </x:c>
      <x:c r="O131" t="str">
        <x:v>TRINITY_DN662_c0_g1_i2.p1</x:v>
      </x:c>
      <x:c r="P131" t="n">
        <x:v>1516</x:v>
      </x:c>
      <x:c r="Q131" t="str">
        <x:v>provisional_HQ_domain</x:v>
      </x:c>
      <x:c r="R131" t="str">
        <x:v>NBD_and_TMD_evidence</x:v>
      </x:c>
      <x:c r="S131" t="str">
        <x:v>IPR003439;IPR011527;PF00005;PF00664</x:v>
      </x:c>
      <x:c r="T131" t="str">
        <x:v>ABC transporter;ABC transporter transmembrane region;ABC transporter type 1, transmembrane domain;ABC transporter-like, ATP-binding domain</x:v>
      </x:c>
      <x:c r="U131"/>
      <x:c r="V131"/>
      <x:c r="W131"/>
      <x:c r="X131"/>
      <x:c r="Y131" s="15" t="b">
        <x:v>1</x:v>
      </x:c>
      <x:c r="Z131" s="15" t="b">
        <x:v>0</x:v>
      </x:c>
      <x:c r="AA131" s="15" t="b">
        <x:v>1</x:v>
      </x:c>
      <x:c r="AB131" s="15" t="b">
        <x:v>1</x:v>
      </x:c>
      <x:c r="AC131" t="str">
        <x:v>Spodoptera|XP_050561843.1</x:v>
      </x:c>
      <x:c r="AD131" s="19" t="n">
        <x:v>0</x:v>
      </x:c>
      <x:c r="AE131" t="n">
        <x:v>2869</x:v>
      </x:c>
      <x:c r="AF131" t="n">
        <x:v>93.267</x:v>
      </x:c>
      <x:c r="AG131" t="n">
        <x:v>100</x:v>
      </x:c>
      <x:c r="AH131" t="n">
        <x:v>100</x:v>
      </x:c>
      <x:c r="AI131" t="str">
        <x:v>sp|Q5F364|MRP1_CHICK</x:v>
      </x:c>
      <x:c r="AJ131" t="str">
        <x:v>sp|Q5F364|MRP1_CHICK Multidrug resistance-associated protein 1 OS=Gallus gallus OX=9031 GN=ABCC1 PE=2 SV=1</x:v>
      </x:c>
      <x:c r="AK131" s="19" t="n">
        <x:v>0</x:v>
      </x:c>
      <x:c r="AL131" t="n">
        <x:v>1428</x:v>
      </x:c>
      <x:c r="AM131" t="n">
        <x:v>50.3</x:v>
      </x:c>
      <x:c r="AN131" t="n">
        <x:v>101.71617161716172</x:v>
      </x:c>
      <x:c r="AO131" t="n">
        <x:v>101.04918032786885</x:v>
      </x:c>
      <x:c r="AP131" t="n">
        <x:v>0</x:v>
      </x:c>
      <x:c r="AQ131" t="n">
        <x:v>0</x:v>
      </x:c>
      <x:c r="AR131" t="str">
        <x:v>ABC_C001</x:v>
      </x:c>
      <x:c r="AS131" t="n">
        <x:v>11</x:v>
      </x:c>
      <x:c r="AT131" s="17" t="n">
        <x:f>AVERAGE(E131:G131)</x:f>
        <x:v>2.4048320000000003</x:v>
      </x:c>
      <x:c r="AU131" s="17" t="n">
        <x:f>STDEV.S(E131:G131)</x:f>
        <x:v>0.38785836223162706</x:v>
      </x:c>
      <x:c r="AV131" s="17" t="n">
        <x:f>AVERAGE(H131:J131)</x:f>
        <x:v>3.280730333333333</x:v>
      </x:c>
      <x:c r="AW131" s="17" t="n">
        <x:f>STDEV.S(H131:J131)</x:f>
        <x:v>0.46833043637407695</x:v>
      </x:c>
      <x:c r="AX131" s="17" t="n">
        <x:f>AV131-AT131</x:f>
        <x:v>0.8758983333333328</x:v>
      </x:c>
      <x:c r="AY131" s="17" t="n">
        <x:f>LOG((AV131+1)/(AT131+1),2)</x:f>
        <x:v>0.330273340077255</x:v>
      </x:c>
      <x:c r="AZ131" s="17" t="n">
        <x:f>AVERAGE(E131:J131)</x:f>
        <x:v>2.8427811666666667</x:v>
      </x:c>
      <x:c r="BA131" s="17" t="n">
        <x:f>MAX(E131:J131)</x:f>
        <x:v>3.785438</x:v>
      </x:c>
      <x:c r="BB131" s="20" t="n">
        <x:f>IF(Q131="provisional_HQ_domain",2,0)+IF(Y131,1,0)+IF(AB131,1,0)+IF(AI131&lt;&gt;"",1,0)+IF(AP131+AQ131&gt;0,1,0)</x:f>
        <x:v>5</x:v>
      </x:c>
      <x:c r="BC131" t="str">
        <x:f>IF(OR(ISNUMBER(SEARCH("exclude",U131)),ISNUMBER(SEARCH("hold",U131)),ISNUMBER(SEARCH("hold",W131))),"Review",IF(BB131&gt;=5,"Strong multi-evidence",IF(BB131&gt;=3,"Supported","Weak/inspect")))</x:f>
        <x:v>Strong multi-evidence</x:v>
      </x:c>
    </x:row>
    <x:row r="132">
      <x:c r="A132" t="str">
        <x:v>ABC</x:v>
      </x:c>
      <x:c r="B132" t="str">
        <x:v>TRINITY_DN662_c0_g4</x:v>
      </x:c>
      <x:c r="C132" t="str">
        <x:v>yes</x:v>
      </x:c>
      <x:c r="D132" t="n">
        <x:v>2</x:v>
      </x:c>
      <x:c r="E132" s="17" t="n">
        <x:v>9.493530999999999</x:v>
      </x:c>
      <x:c r="F132" s="17" t="n">
        <x:v>30.415137</x:v>
      </x:c>
      <x:c r="G132" s="17" t="n">
        <x:v>28.211461</x:v>
      </x:c>
      <x:c r="H132" s="17" t="n">
        <x:v>28.329359999999998</x:v>
      </x:c>
      <x:c r="I132" s="17" t="n">
        <x:v>37.536121</x:v>
      </x:c>
      <x:c r="J132" s="17" t="n">
        <x:v>33.499821</x:v>
      </x:c>
      <x:c r="K132" s="17" t="n">
        <x:v>20.04278428</x:v>
      </x:c>
      <x:c r="L132" s="17" t="n">
        <x:v>27.282617199999997</x:v>
      </x:c>
      <x:c r="M132" s="17" t="n">
        <x:v>7.239832919999998</x:v>
      </x:c>
      <x:c r="N132" s="18" t="n">
        <x:v>0.999999010765626</x:v>
      </x:c>
      <x:c r="O132" t="str">
        <x:v>TRINITY_DN662_c0_g4_i1.p1</x:v>
      </x:c>
      <x:c r="P132" t="n">
        <x:v>1345</x:v>
      </x:c>
      <x:c r="Q132" t="str">
        <x:v>provisional_HQ_domain</x:v>
      </x:c>
      <x:c r="R132" t="str">
        <x:v>NBD_and_TMD_evidence</x:v>
      </x:c>
      <x:c r="S132" t="str">
        <x:v>IPR003439;IPR011527;PF00005;PF00664</x:v>
      </x:c>
      <x:c r="T132" t="str">
        <x:v>ABC transporter;ABC transporter transmembrane region;ABC transporter type 1, transmembrane domain;ABC transporter-like, ATP-binding domain</x:v>
      </x:c>
      <x:c r="U132"/>
      <x:c r="V132"/>
      <x:c r="W132"/>
      <x:c r="X132"/>
      <x:c r="Y132" s="15" t="b">
        <x:v>1</x:v>
      </x:c>
      <x:c r="Z132" s="15" t="b">
        <x:v>0</x:v>
      </x:c>
      <x:c r="AA132" s="15" t="b">
        <x:v>1</x:v>
      </x:c>
      <x:c r="AB132" s="15" t="b">
        <x:v>1</x:v>
      </x:c>
      <x:c r="AC132" t="str">
        <x:v>Spodoptera|XP_035429361.2</x:v>
      </x:c>
      <x:c r="AD132" s="19" t="n">
        <x:v>0</x:v>
      </x:c>
      <x:c r="AE132" t="n">
        <x:v>2293</x:v>
      </x:c>
      <x:c r="AF132" t="n">
        <x:v>81.143</x:v>
      </x:c>
      <x:c r="AG132" t="n">
        <x:v>100.223</x:v>
      </x:c>
      <x:c r="AH132" t="n">
        <x:v>42.0412</x:v>
      </x:c>
      <x:c r="AI132" t="str">
        <x:v>sp|F1M3J4|MRP4_RAT</x:v>
      </x:c>
      <x:c r="AJ132" t="str">
        <x:v>sp|F1M3J4|MRP4_RAT ATP-binding cassette subfamily C member 4 OS=Rattus norvegicus OX=10116 GN=Abcc4 PE=1 SV=3</x:v>
      </x:c>
      <x:c r="AK132" s="19" t="n">
        <x:v>1.99e-307</x:v>
      </x:c>
      <x:c r="AL132" t="n">
        <x:v>904</x:v>
      </x:c>
      <x:c r="AM132" t="n">
        <x:v>41.2</x:v>
      </x:c>
      <x:c r="AN132" t="n">
        <x:v>100.29761904761905</x:v>
      </x:c>
      <x:c r="AO132" t="n">
        <x:v>101.73584905660377</x:v>
      </x:c>
      <x:c r="AP132" t="n">
        <x:v>0</x:v>
      </x:c>
      <x:c r="AQ132" t="n">
        <x:v>0</x:v>
      </x:c>
      <x:c r="AR132" t="str">
        <x:v>ABC_C001</x:v>
      </x:c>
      <x:c r="AS132" t="n">
        <x:v>11</x:v>
      </x:c>
      <x:c r="AT132" s="17" t="n">
        <x:f>AVERAGE(E132:G132)</x:f>
        <x:v>22.706709666666665</x:v>
      </x:c>
      <x:c r="AU132" s="17" t="n">
        <x:f>STDEV.S(E132:G132)</x:f>
        <x:v>11.495873817861144</x:v>
      </x:c>
      <x:c r="AV132" s="17" t="n">
        <x:f>AVERAGE(H132:J132)</x:f>
        <x:v>33.12176733333333</x:v>
      </x:c>
      <x:c r="AW132" s="17" t="n">
        <x:f>STDEV.S(H132:J132)</x:f>
        <x:v>4.6150087171033976</x:v>
      </x:c>
      <x:c r="AX132" s="17" t="n">
        <x:f>AV132-AT132</x:f>
        <x:v>10.415057666666666</x:v>
      </x:c>
      <x:c r="AY132" s="17" t="n">
        <x:f>LOG((AV132+1)/(AT132+1),2)</x:f>
        <x:v>0.5253969325726036</x:v>
      </x:c>
      <x:c r="AZ132" s="17" t="n">
        <x:f>AVERAGE(E132:J132)</x:f>
        <x:v>27.914238499999996</x:v>
      </x:c>
      <x:c r="BA132" s="17" t="n">
        <x:f>MAX(E132:J132)</x:f>
        <x:v>37.536121</x:v>
      </x:c>
      <x:c r="BB132" s="20" t="n">
        <x:f>IF(Q132="provisional_HQ_domain",2,0)+IF(Y132,1,0)+IF(AB132,1,0)+IF(AI132&lt;&gt;"",1,0)+IF(AP132+AQ132&gt;0,1,0)</x:f>
        <x:v>5</x:v>
      </x:c>
      <x:c r="BC132" t="str">
        <x:f>IF(OR(ISNUMBER(SEARCH("exclude",U132)),ISNUMBER(SEARCH("hold",U132)),ISNUMBER(SEARCH("hold",W132))),"Review",IF(BB132&gt;=5,"Strong multi-evidence",IF(BB132&gt;=3,"Supported","Weak/inspect")))</x:f>
        <x:v>Strong multi-evidence</x:v>
      </x:c>
    </x:row>
    <x:row r="133">
      <x:c r="A133" t="str">
        <x:v>ABC</x:v>
      </x:c>
      <x:c r="B133" t="str">
        <x:v>TRINITY_DN7214_c0_g1</x:v>
      </x:c>
      <x:c r="C133" t="str">
        <x:v>yes</x:v>
      </x:c>
      <x:c r="D133" t="n">
        <x:v>6</x:v>
      </x:c>
      <x:c r="E133" s="17" t="n">
        <x:v>9.089773</x:v>
      </x:c>
      <x:c r="F133" s="17" t="n">
        <x:v>21.401363</x:v>
      </x:c>
      <x:c r="G133" s="17" t="n">
        <x:v>7.333459</x:v>
      </x:c>
      <x:c r="H133" s="17" t="n">
        <x:v>18.557253</x:v>
      </x:c>
      <x:c r="I133" s="17" t="n">
        <x:v>16.381285000000002</x:v>
      </x:c>
      <x:c r="J133" s="17" t="n">
        <x:v>21.20481</x:v>
      </x:c>
      <x:c r="K133" s="17" t="n">
        <x:v>11.8840978</x:v>
      </x:c>
      <x:c r="L133" s="17" t="n">
        <x:v>16.395334</x:v>
      </x:c>
      <x:c r="M133" s="17" t="n">
        <x:v>4.511236199999999</x:v>
      </x:c>
      <x:c r="N133" s="18" t="n">
        <x:v>5.06639058387115e-9</x:v>
      </x:c>
      <x:c r="O133" t="str">
        <x:v>TRINITY_DN7214_c0_g1_i11.p1</x:v>
      </x:c>
      <x:c r="P133" t="n">
        <x:v>655</x:v>
      </x:c>
      <x:c r="Q133" t="str">
        <x:v>provisional_HQ_domain</x:v>
      </x:c>
      <x:c r="R133" t="str">
        <x:v>NBD_and_TMD_evidence</x:v>
      </x:c>
      <x:c r="S133" t="str">
        <x:v>IPR003439;IPR013525;IPR043926;PF00005;PF01061;PF19055</x:v>
      </x:c>
      <x:c r="T133" t="str">
        <x:v>ABC transporter;ABC transporter family G domain;ABC transporter-like, ATP-binding domain;ABC-2 type transporter</x:v>
      </x:c>
      <x:c r="U133"/>
      <x:c r="V133"/>
      <x:c r="W133"/>
      <x:c r="X133"/>
      <x:c r="Y133" s="15" t="b">
        <x:v>1</x:v>
      </x:c>
      <x:c r="Z133" s="15" t="b">
        <x:v>0</x:v>
      </x:c>
      <x:c r="AA133" s="15" t="b">
        <x:v>1</x:v>
      </x:c>
      <x:c r="AB133" s="15" t="b">
        <x:v>1</x:v>
      </x:c>
      <x:c r="AC133" t="str">
        <x:v>Spodoptera|XP_035433786.2</x:v>
      </x:c>
      <x:c r="AD133" s="19" t="n">
        <x:v>0</x:v>
      </x:c>
      <x:c r="AE133" t="n">
        <x:v>1254</x:v>
      </x:c>
      <x:c r="AF133" t="n">
        <x:v>91.59</x:v>
      </x:c>
      <x:c r="AG133" t="n">
        <x:v>100</x:v>
      </x:c>
      <x:c r="AH133" t="n">
        <x:v>100</x:v>
      </x:c>
      <x:c r="AI133" t="str">
        <x:v>sp|Q64343|ABCG1_MOUSE</x:v>
      </x:c>
      <x:c r="AJ133" t="str">
        <x:v>sp|Q64343|ABCG1_MOUSE ATP-binding cassette sub-family G member 1 OS=Mus musculus OX=10090 GN=Abcg1 PE=1 SV=1</x:v>
      </x:c>
      <x:c r="AK133" s="19" t="n">
        <x:v>3.89e-168</x:v>
      </x:c>
      <x:c r="AL133" t="n">
        <x:v>499</x:v>
      </x:c>
      <x:c r="AM133" t="n">
        <x:v>44.7</x:v>
      </x:c>
      <x:c r="AN133" t="n">
        <x:v>93.42507645259938</x:v>
      </x:c>
      <x:c r="AO133" t="n">
        <x:v>91.74174174174175</x:v>
      </x:c>
      <x:c r="AP133" t="n">
        <x:v>0</x:v>
      </x:c>
      <x:c r="AQ133" t="n">
        <x:v>0</x:v>
      </x:c>
      <x:c r="AR133" t="str">
        <x:v>ABC_C002</x:v>
      </x:c>
      <x:c r="AS133" t="n">
        <x:v>8</x:v>
      </x:c>
      <x:c r="AT133" s="17" t="n">
        <x:f>AVERAGE(E133:G133)</x:f>
        <x:v>12.608198333333332</x:v>
      </x:c>
      <x:c r="AU133" s="17" t="n">
        <x:f>STDEV.S(E133:G133)</x:f>
        <x:v>7.665570321768977</x:v>
      </x:c>
      <x:c r="AV133" s="17" t="n">
        <x:f>AVERAGE(H133:J133)</x:f>
        <x:v>18.714449333333334</x:v>
      </x:c>
      <x:c r="AW133" s="17" t="n">
        <x:f>STDEV.S(H133:J133)</x:f>
        <x:v>2.4156016583485624</x:v>
      </x:c>
      <x:c r="AX133" s="17" t="n">
        <x:f>AV133-AT133</x:f>
        <x:v>6.106251000000002</x:v>
      </x:c>
      <x:c r="AY133" s="17" t="n">
        <x:f>LOG((AV133+1)/(AT133+1),2)</x:f>
        <x:v>0.5347773405607996</x:v>
      </x:c>
      <x:c r="AZ133" s="17" t="n">
        <x:f>AVERAGE(E133:J133)</x:f>
        <x:v>15.661323833333332</x:v>
      </x:c>
      <x:c r="BA133" s="17" t="n">
        <x:f>MAX(E133:J133)</x:f>
        <x:v>21.401363</x:v>
      </x:c>
      <x:c r="BB133" s="20" t="n">
        <x:f>IF(Q133="provisional_HQ_domain",2,0)+IF(Y133,1,0)+IF(AB133,1,0)+IF(AI133&lt;&gt;"",1,0)+IF(AP133+AQ133&gt;0,1,0)</x:f>
        <x:v>5</x:v>
      </x:c>
      <x:c r="BC133" t="str">
        <x:f>IF(OR(ISNUMBER(SEARCH("exclude",U133)),ISNUMBER(SEARCH("hold",U133)),ISNUMBER(SEARCH("hold",W133))),"Review",IF(BB133&gt;=5,"Strong multi-evidence",IF(BB133&gt;=3,"Supported","Weak/inspect")))</x:f>
        <x:v>Strong multi-evidence</x:v>
      </x:c>
    </x:row>
    <x:row r="134">
      <x:c r="A134" t="str">
        <x:v>ABC</x:v>
      </x:c>
      <x:c r="B134" t="str">
        <x:v>TRINITY_DN9037_c0_g1</x:v>
      </x:c>
      <x:c r="C134" t="str">
        <x:v>yes</x:v>
      </x:c>
      <x:c r="D134" t="n">
        <x:v>6</x:v>
      </x:c>
      <x:c r="E134" s="17" t="n">
        <x:v>1.276958</x:v>
      </x:c>
      <x:c r="F134" s="17" t="n">
        <x:v>0.476406</x:v>
      </x:c>
      <x:c r="G134" s="17" t="n">
        <x:v>0.405211</x:v>
      </x:c>
      <x:c r="H134" s="17" t="n">
        <x:v>0.43401</x:v>
      </x:c>
      <x:c r="I134" s="17" t="n">
        <x:v>0.515723</x:v>
      </x:c>
      <x:c r="J134" s="17" t="n">
        <x:v>0.354954</x:v>
      </x:c>
      <x:c r="K134" s="17" t="n">
        <x:v>0.68884788</x:v>
      </x:c>
      <x:c r="L134" s="17" t="n">
        <x:v>0.418266428</x:v>
      </x:c>
      <x:c r="M134" s="17" t="n">
        <x:v>-0.27058145199999994</x:v>
      </x:c>
      <x:c r="N134" s="18" t="n">
        <x:v>0.0692335907310939</x:v>
      </x:c>
      <x:c r="O134" t="str">
        <x:v>TRINITY_DN9037_c0_g1_i11.p1</x:v>
      </x:c>
      <x:c r="P134" t="n">
        <x:v>851</x:v>
      </x:c>
      <x:c r="Q134" t="str">
        <x:v>provisional_HQ_domain</x:v>
      </x:c>
      <x:c r="R134" t="str">
        <x:v>NBD_and_TMD_evidence</x:v>
      </x:c>
      <x:c r="S134" t="str">
        <x:v>IPR003439;IPR011527;PF00005;PF00664</x:v>
      </x:c>
      <x:c r="T134" t="str">
        <x:v>ABC transporter;ABC transporter transmembrane region;ABC transporter type 1, transmembrane domain;ABC transporter-like, ATP-binding domain</x:v>
      </x:c>
      <x:c r="U134"/>
      <x:c r="V134"/>
      <x:c r="W134"/>
      <x:c r="X134"/>
      <x:c r="Y134" s="15" t="b">
        <x:v>1</x:v>
      </x:c>
      <x:c r="Z134" s="15" t="b">
        <x:v>0</x:v>
      </x:c>
      <x:c r="AA134" s="15" t="b">
        <x:v>1</x:v>
      </x:c>
      <x:c r="AB134" s="15" t="b">
        <x:v>0</x:v>
      </x:c>
      <x:c r="AC134" t="str">
        <x:v>Spodoptera|XP_035436877.2</x:v>
      </x:c>
      <x:c r="AD134" s="19" t="n">
        <x:v>0</x:v>
      </x:c>
      <x:c r="AE134" t="n">
        <x:v>765</x:v>
      </x:c>
      <x:c r="AF134" t="n">
        <x:v>80.961</x:v>
      </x:c>
      <x:c r="AG134" t="n">
        <x:v>63.6471</x:v>
      </x:c>
      <x:c r="AH134" t="n">
        <x:v>32.5511</x:v>
      </x:c>
      <x:c r="AI134" t="str">
        <x:v>sp|P82451|ABCC9_RABIT</x:v>
      </x:c>
      <x:c r="AJ134" t="str">
        <x:v>sp|P82451|ABCC9_RABIT ATP-binding cassette sub-family C member 9 OS=Oryctolagus cuniculus OX=9986 GN=ABCC9 PE=2 SV=1</x:v>
      </x:c>
      <x:c r="AK134" s="19" t="n">
        <x:v>2.97e-46</x:v>
      </x:c>
      <x:c r="AL134" t="n">
        <x:v>183</x:v>
      </x:c>
      <x:c r="AM134" t="n">
        <x:v>27</x:v>
      </x:c>
      <x:c r="AN134" t="n">
        <x:v>73.52941176470588</x:v>
      </x:c>
      <x:c r="AO134" t="n">
        <x:v>40.34861200774694</x:v>
      </x:c>
      <x:c r="AP134" t="n">
        <x:v>0</x:v>
      </x:c>
      <x:c r="AQ134" t="n">
        <x:v>0</x:v>
      </x:c>
      <x:c r="AR134" t="str">
        <x:v>ABC_C003</x:v>
      </x:c>
      <x:c r="AS134" t="n">
        <x:v>6</x:v>
      </x:c>
      <x:c r="AT134" s="17" t="n">
        <x:f>AVERAGE(E134:G134)</x:f>
        <x:v>0.719525</x:v>
      </x:c>
      <x:c r="AU134" s="17" t="n">
        <x:f>STDEV.S(E134:G134)</x:f>
        <x:v>0.4840618184932582</x:v>
      </x:c>
      <x:c r="AV134" s="17" t="n">
        <x:f>AVERAGE(H134:J134)</x:f>
        <x:v>0.4348956666666666</x:v>
      </x:c>
      <x:c r="AW134" s="17" t="n">
        <x:f>STDEV.S(H134:J134)</x:f>
        <x:v>0.08038815922966104</x:v>
      </x:c>
      <x:c r="AX134" s="17" t="n">
        <x:f>AV134-AT134</x:f>
        <x:v>-0.28462933333333335</x:v>
      </x:c>
      <x:c r="AY134" s="17" t="n">
        <x:f>LOG((AV134+1)/(AT134+1),2)</x:f>
        <x:v>-0.2610642509369886</x:v>
      </x:c>
      <x:c r="AZ134" s="17" t="n">
        <x:f>AVERAGE(E134:J134)</x:f>
        <x:v>0.5772103333333333</x:v>
      </x:c>
      <x:c r="BA134" s="17" t="n">
        <x:f>MAX(E134:J134)</x:f>
        <x:v>1.276958</x:v>
      </x:c>
      <x:c r="BB134" s="20" t="n">
        <x:f>IF(Q134="provisional_HQ_domain",2,0)+IF(Y134,1,0)+IF(AB134,1,0)+IF(AI134&lt;&gt;"",1,0)+IF(AP134+AQ134&gt;0,1,0)</x:f>
        <x:v>4</x:v>
      </x:c>
      <x:c r="BC134" t="str">
        <x:f>IF(OR(ISNUMBER(SEARCH("exclude",U134)),ISNUMBER(SEARCH("hold",U134)),ISNUMBER(SEARCH("hold",W134))),"Review",IF(BB134&gt;=5,"Strong multi-evidence",IF(BB134&gt;=3,"Supported","Weak/inspect")))</x:f>
        <x:v>Supported</x:v>
      </x:c>
    </x:row>
    <x:row r="135">
      <x:c r="A135" t="str">
        <x:v>ABC</x:v>
      </x:c>
      <x:c r="B135" t="str">
        <x:v>TRINITY_DN9474_c0_g1</x:v>
      </x:c>
      <x:c r="C135" t="str">
        <x:v>yes</x:v>
      </x:c>
      <x:c r="D135" t="n">
        <x:v>4</x:v>
      </x:c>
      <x:c r="E135" s="17" t="n">
        <x:v>0.235903</x:v>
      </x:c>
      <x:c r="F135" s="17" t="n">
        <x:v>0.367467</x:v>
      </x:c>
      <x:c r="G135" s="17" t="n">
        <x:v>0.184306</x:v>
      </x:c>
      <x:c r="H135" s="17" t="n">
        <x:v>0.42238699999999996</x:v>
      </x:c>
      <x:c r="I135" s="17" t="n">
        <x:v>0.21613600000000002</x:v>
      </x:c>
      <x:c r="J135" s="17" t="n">
        <x:v>0.132467</x:v>
      </x:c>
      <x:c r="K135" s="17" t="n">
        <x:v>0.24790958000000002</x:v>
      </x:c>
      <x:c r="L135" s="17" t="n">
        <x:v>0.25401622</x:v>
      </x:c>
      <x:c r="M135" s="17" t="n">
        <x:v>0.0061066399999999965</x:v>
      </x:c>
      <x:c r="N135" s="18" t="n">
        <x:v>0.242386329328687</x:v>
      </x:c>
      <x:c r="O135" t="str">
        <x:v>TRINITY_DN9474_c0_g1_i1.p1</x:v>
      </x:c>
      <x:c r="P135" t="n">
        <x:v>1452</x:v>
      </x:c>
      <x:c r="Q135" t="str">
        <x:v>provisional_HQ_domain</x:v>
      </x:c>
      <x:c r="R135" t="str">
        <x:v>NBD_and_TMD_evidence</x:v>
      </x:c>
      <x:c r="S135" t="str">
        <x:v>IPR003439;IPR011527;PF00005;PF00664</x:v>
      </x:c>
      <x:c r="T135" t="str">
        <x:v>ABC transporter;ABC transporter transmembrane region;ABC transporter type 1, transmembrane domain;ABC transporter-like, ATP-binding domain</x:v>
      </x:c>
      <x:c r="U135"/>
      <x:c r="V135"/>
      <x:c r="W135"/>
      <x:c r="X135"/>
      <x:c r="Y135" s="15" t="b">
        <x:v>1</x:v>
      </x:c>
      <x:c r="Z135" s="15" t="b">
        <x:v>0</x:v>
      </x:c>
      <x:c r="AA135" s="15" t="b">
        <x:v>1</x:v>
      </x:c>
      <x:c r="AB135" s="15" t="b">
        <x:v>1</x:v>
      </x:c>
      <x:c r="AC135" t="str">
        <x:v>Spodoptera|XP_050557763.1</x:v>
      </x:c>
      <x:c r="AD135" s="19" t="n">
        <x:v>0</x:v>
      </x:c>
      <x:c r="AE135" t="n">
        <x:v>2662</x:v>
      </x:c>
      <x:c r="AF135" t="n">
        <x:v>89.401</x:v>
      </x:c>
      <x:c r="AG135" t="n">
        <x:v>100.138</x:v>
      </x:c>
      <x:c r="AH135" t="n">
        <x:v>100.138</x:v>
      </x:c>
      <x:c r="AI135" t="str">
        <x:v>sp|P91660|L259_DROME</x:v>
      </x:c>
      <x:c r="AJ135" t="str">
        <x:v>sp|P91660|L259_DROME Probable multidrug resistance-associated protein lethal(2)03659 OS=Drosophila melanogaster OX=7227 GN=l(2)03659 PE=2 SV=4</x:v>
      </x:c>
      <x:c r="AK135" s="19" t="n">
        <x:v>1.2e-288</x:v>
      </x:c>
      <x:c r="AL135" t="n">
        <x:v>861</x:v>
      </x:c>
      <x:c r="AM135" t="n">
        <x:v>39.2</x:v>
      </x:c>
      <x:c r="AN135" t="n">
        <x:v>92.55685733976568</x:v>
      </x:c>
      <x:c r="AO135" t="n">
        <x:v>97.74381368267831</x:v>
      </x:c>
      <x:c r="AP135" t="n">
        <x:v>0</x:v>
      </x:c>
      <x:c r="AQ135" t="n">
        <x:v>0</x:v>
      </x:c>
      <x:c r="AR135" t="str">
        <x:v>ABC_C001</x:v>
      </x:c>
      <x:c r="AS135" t="n">
        <x:v>11</x:v>
      </x:c>
      <x:c r="AT135" s="17" t="n">
        <x:f>AVERAGE(E135:G135)</x:f>
        <x:v>0.26255866666666666</x:v>
      </x:c>
      <x:c r="AU135" s="17" t="n">
        <x:f>STDEV.S(E135:G135)</x:f>
        <x:v>0.09444512377213199</x:v>
      </x:c>
      <x:c r="AV135" s="17" t="n">
        <x:f>AVERAGE(H135:J135)</x:f>
        <x:v>0.25699666666666665</x:v>
      </x:c>
      <x:c r="AW135" s="17" t="n">
        <x:f>STDEV.S(H135:J135)</x:f>
        <x:v>0.14921661154286184</x:v>
      </x:c>
      <x:c r="AX135" s="17" t="n">
        <x:f>AV135-AT135</x:f>
        <x:v>-0.005562000000000011</x:v>
      </x:c>
      <x:c r="AY135" s="17" t="n">
        <x:f>LOG((AV135+1)/(AT135+1),2)</x:f>
        <x:v>-0.00636960240239554</x:v>
      </x:c>
      <x:c r="AZ135" s="17" t="n">
        <x:f>AVERAGE(E135:J135)</x:f>
        <x:v>0.2597776666666667</x:v>
      </x:c>
      <x:c r="BA135" s="17" t="n">
        <x:f>MAX(E135:J135)</x:f>
        <x:v>0.42238699999999996</x:v>
      </x:c>
      <x:c r="BB135" s="20" t="n">
        <x:f>IF(Q135="provisional_HQ_domain",2,0)+IF(Y135,1,0)+IF(AB135,1,0)+IF(AI135&lt;&gt;"",1,0)+IF(AP135+AQ135&gt;0,1,0)</x:f>
        <x:v>5</x:v>
      </x:c>
      <x:c r="BC135" t="str">
        <x:f>IF(OR(ISNUMBER(SEARCH("exclude",U135)),ISNUMBER(SEARCH("hold",U135)),ISNUMBER(SEARCH("hold",W135))),"Review",IF(BB135&gt;=5,"Strong multi-evidence",IF(BB135&gt;=3,"Supported","Weak/inspect")))</x:f>
        <x:v>Strong multi-evidence</x:v>
      </x:c>
    </x:row>
    <x:row r="136">
      <x:c r="A136" t="str">
        <x:v>ABC</x:v>
      </x:c>
      <x:c r="B136" t="str">
        <x:v>TRINITY_DN9946_c0_g2</x:v>
      </x:c>
      <x:c r="C136" t="str">
        <x:v>yes</x:v>
      </x:c>
      <x:c r="D136" t="n">
        <x:v>5</x:v>
      </x:c>
      <x:c r="E136" s="17" t="n">
        <x:v>2.44002</x:v>
      </x:c>
      <x:c r="F136" s="17" t="n">
        <x:v>3.152135</x:v>
      </x:c>
      <x:c r="G136" s="17" t="n">
        <x:v>1.3118239999999999</x:v>
      </x:c>
      <x:c r="H136" s="17" t="n">
        <x:v>4.111879</x:v>
      </x:c>
      <x:c r="I136" s="17" t="n">
        <x:v>4.969614</x:v>
      </x:c>
      <x:c r="J136" s="17" t="n">
        <x:v>6.191727</x:v>
      </x:c>
      <x:c r="K136" s="17" t="n">
        <x:v>2.05250778</x:v>
      </x:c>
      <x:c r="L136" s="17" t="n">
        <x:v>4.4028974</x:v>
      </x:c>
      <x:c r="M136" s="17" t="n">
        <x:v>2.3503896199999996</x:v>
      </x:c>
      <x:c r="N136" s="18" t="n">
        <x:v>0.970767865124101</x:v>
      </x:c>
      <x:c r="O136" t="str">
        <x:v>TRINITY_DN9946_c0_g2_i2.p1</x:v>
      </x:c>
      <x:c r="P136" t="n">
        <x:v>621</x:v>
      </x:c>
      <x:c r="Q136" t="str">
        <x:v>provisional_HQ_domain</x:v>
      </x:c>
      <x:c r="R136" t="str">
        <x:v>NBD_and_TMD_evidence</x:v>
      </x:c>
      <x:c r="S136" t="str">
        <x:v>IPR003439;IPR013525;PF00005;PF01061</x:v>
      </x:c>
      <x:c r="T136" t="str">
        <x:v>ABC transporter;ABC transporter-like, ATP-binding domain;ABC-2 type transporter</x:v>
      </x:c>
      <x:c r="U136"/>
      <x:c r="V136"/>
      <x:c r="W136"/>
      <x:c r="X136"/>
      <x:c r="Y136" s="15" t="b">
        <x:v>1</x:v>
      </x:c>
      <x:c r="Z136" s="15" t="b">
        <x:v>0</x:v>
      </x:c>
      <x:c r="AA136" s="15" t="b">
        <x:v>1</x:v>
      </x:c>
      <x:c r="AB136" s="15" t="b">
        <x:v>1</x:v>
      </x:c>
      <x:c r="AC136" t="str">
        <x:v>Spodoptera|XP_035433785.2</x:v>
      </x:c>
      <x:c r="AD136" s="19" t="n">
        <x:v>0</x:v>
      </x:c>
      <x:c r="AE136" t="n">
        <x:v>1118</x:v>
      </x:c>
      <x:c r="AF136" t="n">
        <x:v>87.742</x:v>
      </x:c>
      <x:c r="AG136" t="n">
        <x:v>100</x:v>
      </x:c>
      <x:c r="AH136" t="n">
        <x:v>100</x:v>
      </x:c>
      <x:c r="AI136" t="str">
        <x:v>sp|Q91WA9|ABCG4_MOUSE</x:v>
      </x:c>
      <x:c r="AJ136" t="str">
        <x:v>sp|Q91WA9|ABCG4_MOUSE ATP-binding cassette subfamily G member 4 OS=Mus musculus OX=10090 GN=Abcg4 PE=1 SV=2</x:v>
      </x:c>
      <x:c r="AK136" s="19" t="n">
        <x:v>1.73e-136</x:v>
      </x:c>
      <x:c r="AL136" t="n">
        <x:v>416</x:v>
      </x:c>
      <x:c r="AM136" t="n">
        <x:v>41.1</x:v>
      </x:c>
      <x:c r="AN136" t="n">
        <x:v>97.25806451612904</x:v>
      </x:c>
      <x:c r="AO136" t="n">
        <x:v>93.343653250774</x:v>
      </x:c>
      <x:c r="AP136" t="n">
        <x:v>0</x:v>
      </x:c>
      <x:c r="AQ136" t="n">
        <x:v>0</x:v>
      </x:c>
      <x:c r="AR136" t="str">
        <x:v>ABC_C002</x:v>
      </x:c>
      <x:c r="AS136" t="n">
        <x:v>8</x:v>
      </x:c>
      <x:c r="AT136" s="17" t="n">
        <x:f>AVERAGE(E136:G136)</x:f>
        <x:v>2.3013263333333334</x:v>
      </x:c>
      <x:c r="AU136" s="17" t="n">
        <x:f>STDEV.S(E136:G136)</x:f>
        <x:v>0.9279617955823037</x:v>
      </x:c>
      <x:c r="AV136" s="17" t="n">
        <x:f>AVERAGE(H136:J136)</x:f>
        <x:v>5.091073333333333</x:v>
      </x:c>
      <x:c r="AW136" s="17" t="n">
        <x:f>STDEV.S(H136:J136)</x:f>
        <x:v>1.0452302153192536</x:v>
      </x:c>
      <x:c r="AX136" s="17" t="n">
        <x:f>AV136-AT136</x:f>
        <x:v>2.7897469999999998</x:v>
      </x:c>
      <x:c r="AY136" s="17" t="n">
        <x:f>LOG((AV136+1)/(AT136+1),2)</x:f>
        <x:v>0.8836507190174303</x:v>
      </x:c>
      <x:c r="AZ136" s="17" t="n">
        <x:f>AVERAGE(E136:J136)</x:f>
        <x:v>3.6961998333333335</x:v>
      </x:c>
      <x:c r="BA136" s="17" t="n">
        <x:f>MAX(E136:J136)</x:f>
        <x:v>6.191727</x:v>
      </x:c>
      <x:c r="BB136" s="20" t="n">
        <x:f>IF(Q136="provisional_HQ_domain",2,0)+IF(Y136,1,0)+IF(AB136,1,0)+IF(AI136&lt;&gt;"",1,0)+IF(AP136+AQ136&gt;0,1,0)</x:f>
        <x:v>5</x:v>
      </x:c>
      <x:c r="BC136" t="str">
        <x:f>IF(OR(ISNUMBER(SEARCH("exclude",U136)),ISNUMBER(SEARCH("hold",U136)),ISNUMBER(SEARCH("hold",W136))),"Review",IF(BB136&gt;=5,"Strong multi-evidence",IF(BB136&gt;=3,"Supported","Weak/inspect")))</x:f>
        <x:v>Strong multi-evidence</x:v>
      </x:c>
    </x:row>
    <x:row r="137">
      <x:c r="A137" t="str">
        <x:v>ABC</x:v>
      </x:c>
      <x:c r="B137" t="str">
        <x:v>TRINITY_DN9986_c0_g1</x:v>
      </x:c>
      <x:c r="C137" t="str">
        <x:v>yes</x:v>
      </x:c>
      <x:c r="D137" t="n">
        <x:v>1</x:v>
      </x:c>
      <x:c r="E137" s="17" t="n">
        <x:v>0.628551</x:v>
      </x:c>
      <x:c r="F137" s="17" t="n">
        <x:v>0.6244</x:v>
      </x:c>
      <x:c r="G137" s="17" t="n">
        <x:v>1.365656</x:v>
      </x:c>
      <x:c r="H137" s="17" t="n">
        <x:v>1.210124</x:v>
      </x:c>
      <x:c r="I137" s="17" t="n">
        <x:v>1.501003</x:v>
      </x:c>
      <x:c r="J137" s="17" t="n">
        <x:v>1.134659</x:v>
      </x:c>
      <x:c r="K137" s="17" t="n">
        <x:v>0.7679866</x:v>
      </x:c>
      <x:c r="L137" s="17" t="n">
        <x:v>1.0571318</x:v>
      </x:c>
      <x:c r="M137" s="17" t="n">
        <x:v>0.2891452000000001</x:v>
      </x:c>
      <x:c r="N137" s="18" t="n">
        <x:v>0.999999010765626</x:v>
      </x:c>
      <x:c r="O137" t="str">
        <x:v>TRINITY_DN9986_c0_g1_i1.p1</x:v>
      </x:c>
      <x:c r="P137" t="n">
        <x:v>564</x:v>
      </x:c>
      <x:c r="Q137" t="str">
        <x:v>review</x:v>
      </x:c>
      <x:c r="R137" t="str">
        <x:v>TMD_only_or_NBD_not_detected</x:v>
      </x:c>
      <x:c r="S137" t="str">
        <x:v>IPR011527;PF00664</x:v>
      </x:c>
      <x:c r="T137" t="str">
        <x:v>ABC transporter transmembrane region;ABC transporter type 1, transmembrane domain</x:v>
      </x:c>
      <x:c r="U137" t="str">
        <x:v>retain_ABC_fragment_or_partial</x:v>
      </x:c>
      <x:c r="V137" t="str">
        <x:v>historical homology plus partial ABC architecture; inspect isoforms before nomenclature</x:v>
      </x:c>
      <x:c r="W137" t="str">
        <x:v>retain_historical_partial_ABC</x:v>
      </x:c>
      <x:c r="X137" t="str">
        <x:v>historical support plus partial sequence-level ABC evidence</x:v>
      </x:c>
      <x:c r="Y137" s="15" t="b">
        <x:v>1</x:v>
      </x:c>
      <x:c r="Z137" s="15" t="b">
        <x:v>0</x:v>
      </x:c>
      <x:c r="AA137" s="15" t="b">
        <x:v>1</x:v>
      </x:c>
      <x:c r="AB137" s="15" t="b">
        <x:v>1</x:v>
      </x:c>
      <x:c r="AC137" t="str">
        <x:v>Spodoptera|XP_035434176.2</x:v>
      </x:c>
      <x:c r="AD137" s="19" t="n">
        <x:v>0</x:v>
      </x:c>
      <x:c r="AE137" t="n">
        <x:v>950</x:v>
      </x:c>
      <x:c r="AF137" t="n">
        <x:v>81.802</x:v>
      </x:c>
      <x:c r="AG137" t="n">
        <x:v>100.355</x:v>
      </x:c>
      <x:c r="AH137" t="n">
        <x:v>37.3844</x:v>
      </x:c>
      <x:c r="AI137" t="str">
        <x:v>sp|Q5F364|MRP1_CHICK</x:v>
      </x:c>
      <x:c r="AJ137" t="str">
        <x:v>sp|Q5F364|MRP1_CHICK Multidrug resistance-associated protein 1 OS=Gallus gallus OX=9031 GN=ABCC1 PE=2 SV=1</x:v>
      </x:c>
      <x:c r="AK137" s="19" t="n">
        <x:v>4.74e-155</x:v>
      </x:c>
      <x:c r="AL137" t="n">
        <x:v>484</x:v>
      </x:c>
      <x:c r="AM137" t="n">
        <x:v>47.1</x:v>
      </x:c>
      <x:c r="AN137" t="n">
        <x:v>102.30496453900709</x:v>
      </x:c>
      <x:c r="AO137" t="n">
        <x:v>37.83606557377049</x:v>
      </x:c>
      <x:c r="AP137" t="n">
        <x:v>0</x:v>
      </x:c>
      <x:c r="AQ137" t="n">
        <x:v>0</x:v>
      </x:c>
      <x:c r="AR137" t="str">
        <x:v>ABC_C003</x:v>
      </x:c>
      <x:c r="AS137" t="n">
        <x:v>6</x:v>
      </x:c>
      <x:c r="AT137" s="17" t="n">
        <x:f>AVERAGE(E137:G137)</x:f>
        <x:v>0.872869</x:v>
      </x:c>
      <x:c r="AU137" s="17" t="n">
        <x:f>STDEV.S(E137:G137)</x:f>
        <x:v>0.4267711075354094</x:v>
      </x:c>
      <x:c r="AV137" s="17" t="n">
        <x:f>AVERAGE(H137:J137)</x:f>
        <x:v>1.2819286666666667</x:v>
      </x:c>
      <x:c r="AW137" s="17" t="n">
        <x:f>STDEV.S(H137:J137)</x:f>
        <x:v>0.19343969137778663</x:v>
      </x:c>
      <x:c r="AX137" s="17" t="n">
        <x:f>AV137-AT137</x:f>
        <x:v>0.4090596666666667</x:v>
      </x:c>
      <x:c r="AY137" s="17" t="n">
        <x:f>LOG((AV137+1)/(AT137+1),2)</x:f>
        <x:v>0.2850037014029889</x:v>
      </x:c>
      <x:c r="AZ137" s="17" t="n">
        <x:f>AVERAGE(E137:J137)</x:f>
        <x:v>1.0773988333333333</x:v>
      </x:c>
      <x:c r="BA137" s="17" t="n">
        <x:f>MAX(E137:J137)</x:f>
        <x:v>1.501003</x:v>
      </x:c>
      <x:c r="BB137" s="20" t="n">
        <x:f>IF(Q137="provisional_HQ_domain",2,0)+IF(Y137,1,0)+IF(AB137,1,0)+IF(AI137&lt;&gt;"",1,0)+IF(AP137+AQ137&gt;0,1,0)</x:f>
        <x:v>3</x:v>
      </x:c>
      <x:c r="BC137" t="str">
        <x:f>IF(OR(ISNUMBER(SEARCH("exclude",U137)),ISNUMBER(SEARCH("hold",U137)),ISNUMBER(SEARCH("hold",W137))),"Review",IF(BB137&gt;=5,"Strong multi-evidence",IF(BB137&gt;=3,"Supported","Weak/inspect")))</x:f>
        <x:v>Supported</x:v>
      </x:c>
    </x:row>
  </x:sheetData>
  <x:conditionalFormatting sqref="BB2:BB137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C2:BC137">
    <x:cfRule type="containsText" dxfId="0" priority="2" operator="containsText" text="Review"/>
    <x:cfRule type="containsText" dxfId="1" priority="3" operator="containsText" text="Strong"/>
  </x:conditionalFormatting>
  <x:pageMargins left="0.7" right="0.7" top="0.75" bottom="0.75" header="0.3" footer="0.3"/>
  <x:tableParts count="1">
    <x:tablePart xmlns:r="http://schemas.openxmlformats.org/officeDocument/2006/relationships" r:id="Rb739e385899c4a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4" t="str">
        <x:v>Family</x:v>
      </x:c>
      <x:c r="B1" s="14" t="str">
        <x:v>GeneID</x:v>
      </x:c>
      <x:c r="C1" s="14" t="str">
        <x:v>Condition</x:v>
      </x:c>
      <x:c r="D1" s="14" t="str">
        <x:v>Replicate</x:v>
      </x:c>
      <x:c r="E1" s="14" t="str">
        <x:v>Sample</x:v>
      </x:c>
      <x:c r="F1" s="14" t="str">
        <x:v>TPM</x:v>
      </x:c>
    </x:row>
    <x:row r="2">
      <x:c r="A2" t="str">
        <x:v>CarE</x:v>
      </x:c>
      <x:c r="B2" t="str">
        <x:v>TRINITY_DN10214_c0_g1</x:v>
      </x:c>
      <x:c r="C2" t="str">
        <x:v>Dan</x:v>
      </x:c>
      <x:c r="D2" t="n">
        <x:v>1</x:v>
      </x:c>
      <x:c r="E2" t="str">
        <x:v>Dan_mg1</x:v>
      </x:c>
      <x:c r="F2" s="17" t="n">
        <x:v>0.202525</x:v>
      </x:c>
    </x:row>
    <x:row r="3">
      <x:c r="A3" t="str">
        <x:v>CarE</x:v>
      </x:c>
      <x:c r="B3" t="str">
        <x:v>TRINITY_DN10214_c0_g1</x:v>
      </x:c>
      <x:c r="C3" t="str">
        <x:v>Dan</x:v>
      </x:c>
      <x:c r="D3" t="n">
        <x:v>2</x:v>
      </x:c>
      <x:c r="E3" t="str">
        <x:v>Dan_mg2</x:v>
      </x:c>
      <x:c r="F3" s="17" t="n">
        <x:v>0.401503</x:v>
      </x:c>
    </x:row>
    <x:row r="4">
      <x:c r="A4" t="str">
        <x:v>CarE</x:v>
      </x:c>
      <x:c r="B4" t="str">
        <x:v>TRINITY_DN10214_c0_g1</x:v>
      </x:c>
      <x:c r="C4" t="str">
        <x:v>Dan</x:v>
      </x:c>
      <x:c r="D4" t="n">
        <x:v>3</x:v>
      </x:c>
      <x:c r="E4" t="str">
        <x:v>Dan_mg3</x:v>
      </x:c>
      <x:c r="F4" s="17" t="n">
        <x:v>0.481993</x:v>
      </x:c>
    </x:row>
    <x:row r="5">
      <x:c r="A5" t="str">
        <x:v>CarE</x:v>
      </x:c>
      <x:c r="B5" t="str">
        <x:v>TRINITY_DN10214_c0_g1</x:v>
      </x:c>
      <x:c r="C5" t="str">
        <x:v>Mul</x:v>
      </x:c>
      <x:c r="D5" t="n">
        <x:v>1</x:v>
      </x:c>
      <x:c r="E5" t="str">
        <x:v>Mul_mg1</x:v>
      </x:c>
      <x:c r="F5" s="17" t="n">
        <x:v>0.387801</x:v>
      </x:c>
    </x:row>
    <x:row r="6">
      <x:c r="A6" t="str">
        <x:v>CarE</x:v>
      </x:c>
      <x:c r="B6" t="str">
        <x:v>TRINITY_DN10214_c0_g1</x:v>
      </x:c>
      <x:c r="C6" t="str">
        <x:v>Mul</x:v>
      </x:c>
      <x:c r="D6" t="n">
        <x:v>2</x:v>
      </x:c>
      <x:c r="E6" t="str">
        <x:v>Mul_mg2</x:v>
      </x:c>
      <x:c r="F6" s="17" t="n">
        <x:v>0.512033</x:v>
      </x:c>
    </x:row>
    <x:row r="7">
      <x:c r="A7" t="str">
        <x:v>CarE</x:v>
      </x:c>
      <x:c r="B7" t="str">
        <x:v>TRINITY_DN10214_c0_g1</x:v>
      </x:c>
      <x:c r="C7" t="str">
        <x:v>Mul</x:v>
      </x:c>
      <x:c r="D7" t="n">
        <x:v>3</x:v>
      </x:c>
      <x:c r="E7" t="str">
        <x:v>Mul_mg3</x:v>
      </x:c>
      <x:c r="F7" s="17" t="n">
        <x:v>0.15555</x:v>
      </x:c>
    </x:row>
    <x:row r="8">
      <x:c r="A8" t="str">
        <x:v>CarE</x:v>
      </x:c>
      <x:c r="B8" t="str">
        <x:v>TRINITY_DN1194_c0_g1</x:v>
      </x:c>
      <x:c r="C8" t="str">
        <x:v>Dan</x:v>
      </x:c>
      <x:c r="D8" t="n">
        <x:v>1</x:v>
      </x:c>
      <x:c r="E8" t="str">
        <x:v>Dan_mg1</x:v>
      </x:c>
      <x:c r="F8" s="17" t="n">
        <x:v>8.243196</x:v>
      </x:c>
    </x:row>
    <x:row r="9">
      <x:c r="A9" t="str">
        <x:v>CarE</x:v>
      </x:c>
      <x:c r="B9" t="str">
        <x:v>TRINITY_DN1194_c0_g1</x:v>
      </x:c>
      <x:c r="C9" t="str">
        <x:v>Dan</x:v>
      </x:c>
      <x:c r="D9" t="n">
        <x:v>2</x:v>
      </x:c>
      <x:c r="E9" t="str">
        <x:v>Dan_mg2</x:v>
      </x:c>
      <x:c r="F9" s="17" t="n">
        <x:v>11.593958</x:v>
      </x:c>
    </x:row>
    <x:row r="10">
      <x:c r="A10" t="str">
        <x:v>CarE</x:v>
      </x:c>
      <x:c r="B10" t="str">
        <x:v>TRINITY_DN1194_c0_g1</x:v>
      </x:c>
      <x:c r="C10" t="str">
        <x:v>Dan</x:v>
      </x:c>
      <x:c r="D10" t="n">
        <x:v>3</x:v>
      </x:c>
      <x:c r="E10" t="str">
        <x:v>Dan_mg3</x:v>
      </x:c>
      <x:c r="F10" s="17" t="n">
        <x:v>5.352087</x:v>
      </x:c>
    </x:row>
    <x:row r="11">
      <x:c r="A11" t="str">
        <x:v>CarE</x:v>
      </x:c>
      <x:c r="B11" t="str">
        <x:v>TRINITY_DN1194_c0_g1</x:v>
      </x:c>
      <x:c r="C11" t="str">
        <x:v>Mul</x:v>
      </x:c>
      <x:c r="D11" t="n">
        <x:v>1</x:v>
      </x:c>
      <x:c r="E11" t="str">
        <x:v>Mul_mg1</x:v>
      </x:c>
      <x:c r="F11" s="17" t="n">
        <x:v>8.909136</x:v>
      </x:c>
    </x:row>
    <x:row r="12">
      <x:c r="A12" t="str">
        <x:v>CarE</x:v>
      </x:c>
      <x:c r="B12" t="str">
        <x:v>TRINITY_DN1194_c0_g1</x:v>
      </x:c>
      <x:c r="C12" t="str">
        <x:v>Mul</x:v>
      </x:c>
      <x:c r="D12" t="n">
        <x:v>2</x:v>
      </x:c>
      <x:c r="E12" t="str">
        <x:v>Mul_mg2</x:v>
      </x:c>
      <x:c r="F12" s="17" t="n">
        <x:v>10.842778</x:v>
      </x:c>
    </x:row>
    <x:row r="13">
      <x:c r="A13" t="str">
        <x:v>CarE</x:v>
      </x:c>
      <x:c r="B13" t="str">
        <x:v>TRINITY_DN1194_c0_g1</x:v>
      </x:c>
      <x:c r="C13" t="str">
        <x:v>Mul</x:v>
      </x:c>
      <x:c r="D13" t="n">
        <x:v>3</x:v>
      </x:c>
      <x:c r="E13" t="str">
        <x:v>Mul_mg3</x:v>
      </x:c>
      <x:c r="F13" s="17" t="n">
        <x:v>22.938625</x:v>
      </x:c>
    </x:row>
    <x:row r="14">
      <x:c r="A14" t="str">
        <x:v>CarE</x:v>
      </x:c>
      <x:c r="B14" t="str">
        <x:v>TRINITY_DN13111_c1_g1</x:v>
      </x:c>
      <x:c r="C14" t="str">
        <x:v>Dan</x:v>
      </x:c>
      <x:c r="D14" t="n">
        <x:v>1</x:v>
      </x:c>
      <x:c r="E14" t="str">
        <x:v>Dan_mg1</x:v>
      </x:c>
      <x:c r="F14" s="17" t="n">
        <x:v>0.483457</x:v>
      </x:c>
    </x:row>
    <x:row r="15">
      <x:c r="A15" t="str">
        <x:v>CarE</x:v>
      </x:c>
      <x:c r="B15" t="str">
        <x:v>TRINITY_DN13111_c1_g1</x:v>
      </x:c>
      <x:c r="C15" t="str">
        <x:v>Dan</x:v>
      </x:c>
      <x:c r="D15" t="n">
        <x:v>2</x:v>
      </x:c>
      <x:c r="E15" t="str">
        <x:v>Dan_mg2</x:v>
      </x:c>
      <x:c r="F15" s="17" t="n">
        <x:v>0.703705</x:v>
      </x:c>
    </x:row>
    <x:row r="16">
      <x:c r="A16" t="str">
        <x:v>CarE</x:v>
      </x:c>
      <x:c r="B16" t="str">
        <x:v>TRINITY_DN13111_c1_g1</x:v>
      </x:c>
      <x:c r="C16" t="str">
        <x:v>Dan</x:v>
      </x:c>
      <x:c r="D16" t="n">
        <x:v>3</x:v>
      </x:c>
      <x:c r="E16" t="str">
        <x:v>Dan_mg3</x:v>
      </x:c>
      <x:c r="F16" s="17" t="n">
        <x:v>0.438018</x:v>
      </x:c>
    </x:row>
    <x:row r="17">
      <x:c r="A17" t="str">
        <x:v>CarE</x:v>
      </x:c>
      <x:c r="B17" t="str">
        <x:v>TRINITY_DN13111_c1_g1</x:v>
      </x:c>
      <x:c r="C17" t="str">
        <x:v>Mul</x:v>
      </x:c>
      <x:c r="D17" t="n">
        <x:v>1</x:v>
      </x:c>
      <x:c r="E17" t="str">
        <x:v>Mul_mg1</x:v>
      </x:c>
      <x:c r="F17" s="17" t="n">
        <x:v>0.6163409999999999</x:v>
      </x:c>
    </x:row>
    <x:row r="18">
      <x:c r="A18" t="str">
        <x:v>CarE</x:v>
      </x:c>
      <x:c r="B18" t="str">
        <x:v>TRINITY_DN13111_c1_g1</x:v>
      </x:c>
      <x:c r="C18" t="str">
        <x:v>Mul</x:v>
      </x:c>
      <x:c r="D18" t="n">
        <x:v>2</x:v>
      </x:c>
      <x:c r="E18" t="str">
        <x:v>Mul_mg2</x:v>
      </x:c>
      <x:c r="F18" s="17" t="n">
        <x:v>0.5152220000000001</x:v>
      </x:c>
    </x:row>
    <x:row r="19">
      <x:c r="A19" t="str">
        <x:v>CarE</x:v>
      </x:c>
      <x:c r="B19" t="str">
        <x:v>TRINITY_DN13111_c1_g1</x:v>
      </x:c>
      <x:c r="C19" t="str">
        <x:v>Mul</x:v>
      </x:c>
      <x:c r="D19" t="n">
        <x:v>3</x:v>
      </x:c>
      <x:c r="E19" t="str">
        <x:v>Mul_mg3</x:v>
      </x:c>
      <x:c r="F19" s="17" t="n">
        <x:v>0.49023100000000003</x:v>
      </x:c>
    </x:row>
    <x:row r="20">
      <x:c r="A20" t="str">
        <x:v>CarE</x:v>
      </x:c>
      <x:c r="B20" t="str">
        <x:v>TRINITY_DN1740_c0_g3</x:v>
      </x:c>
      <x:c r="C20" t="str">
        <x:v>Dan</x:v>
      </x:c>
      <x:c r="D20" t="n">
        <x:v>1</x:v>
      </x:c>
      <x:c r="E20" t="str">
        <x:v>Dan_mg1</x:v>
      </x:c>
      <x:c r="F20" s="17" t="n">
        <x:v>3.412963</x:v>
      </x:c>
    </x:row>
    <x:row r="21">
      <x:c r="A21" t="str">
        <x:v>CarE</x:v>
      </x:c>
      <x:c r="B21" t="str">
        <x:v>TRINITY_DN1740_c0_g3</x:v>
      </x:c>
      <x:c r="C21" t="str">
        <x:v>Dan</x:v>
      </x:c>
      <x:c r="D21" t="n">
        <x:v>2</x:v>
      </x:c>
      <x:c r="E21" t="str">
        <x:v>Dan_mg2</x:v>
      </x:c>
      <x:c r="F21" s="17" t="n">
        <x:v>5.313427</x:v>
      </x:c>
    </x:row>
    <x:row r="22">
      <x:c r="A22" t="str">
        <x:v>CarE</x:v>
      </x:c>
      <x:c r="B22" t="str">
        <x:v>TRINITY_DN1740_c0_g3</x:v>
      </x:c>
      <x:c r="C22" t="str">
        <x:v>Dan</x:v>
      </x:c>
      <x:c r="D22" t="n">
        <x:v>3</x:v>
      </x:c>
      <x:c r="E22" t="str">
        <x:v>Dan_mg3</x:v>
      </x:c>
      <x:c r="F22" s="17" t="n">
        <x:v>1.844601</x:v>
      </x:c>
    </x:row>
    <x:row r="23">
      <x:c r="A23" t="str">
        <x:v>CarE</x:v>
      </x:c>
      <x:c r="B23" t="str">
        <x:v>TRINITY_DN1740_c0_g3</x:v>
      </x:c>
      <x:c r="C23" t="str">
        <x:v>Mul</x:v>
      </x:c>
      <x:c r="D23" t="n">
        <x:v>1</x:v>
      </x:c>
      <x:c r="E23" t="str">
        <x:v>Mul_mg1</x:v>
      </x:c>
      <x:c r="F23" s="17" t="n">
        <x:v>7.907323</x:v>
      </x:c>
    </x:row>
    <x:row r="24">
      <x:c r="A24" t="str">
        <x:v>CarE</x:v>
      </x:c>
      <x:c r="B24" t="str">
        <x:v>TRINITY_DN1740_c0_g3</x:v>
      </x:c>
      <x:c r="C24" t="str">
        <x:v>Mul</x:v>
      </x:c>
      <x:c r="D24" t="n">
        <x:v>2</x:v>
      </x:c>
      <x:c r="E24" t="str">
        <x:v>Mul_mg2</x:v>
      </x:c>
      <x:c r="F24" s="17" t="n">
        <x:v>8.185565</x:v>
      </x:c>
    </x:row>
    <x:row r="25">
      <x:c r="A25" t="str">
        <x:v>CarE</x:v>
      </x:c>
      <x:c r="B25" t="str">
        <x:v>TRINITY_DN1740_c0_g3</x:v>
      </x:c>
      <x:c r="C25" t="str">
        <x:v>Mul</x:v>
      </x:c>
      <x:c r="D25" t="n">
        <x:v>3</x:v>
      </x:c>
      <x:c r="E25" t="str">
        <x:v>Mul_mg3</x:v>
      </x:c>
      <x:c r="F25" s="17" t="n">
        <x:v>10.349802</x:v>
      </x:c>
    </x:row>
    <x:row r="26">
      <x:c r="A26" t="str">
        <x:v>CarE</x:v>
      </x:c>
      <x:c r="B26" t="str">
        <x:v>TRINITY_DN22_c1_g1</x:v>
      </x:c>
      <x:c r="C26" t="str">
        <x:v>Dan</x:v>
      </x:c>
      <x:c r="D26" t="n">
        <x:v>1</x:v>
      </x:c>
      <x:c r="E26" t="str">
        <x:v>Dan_mg1</x:v>
      </x:c>
      <x:c r="F26" s="17" t="n">
        <x:v>94.046204</x:v>
      </x:c>
    </x:row>
    <x:row r="27">
      <x:c r="A27" t="str">
        <x:v>CarE</x:v>
      </x:c>
      <x:c r="B27" t="str">
        <x:v>TRINITY_DN22_c1_g1</x:v>
      </x:c>
      <x:c r="C27" t="str">
        <x:v>Dan</x:v>
      </x:c>
      <x:c r="D27" t="n">
        <x:v>2</x:v>
      </x:c>
      <x:c r="E27" t="str">
        <x:v>Dan_mg2</x:v>
      </x:c>
      <x:c r="F27" s="17" t="n">
        <x:v>109.988953</x:v>
      </x:c>
    </x:row>
    <x:row r="28">
      <x:c r="A28" t="str">
        <x:v>CarE</x:v>
      </x:c>
      <x:c r="B28" t="str">
        <x:v>TRINITY_DN22_c1_g1</x:v>
      </x:c>
      <x:c r="C28" t="str">
        <x:v>Dan</x:v>
      </x:c>
      <x:c r="D28" t="n">
        <x:v>3</x:v>
      </x:c>
      <x:c r="E28" t="str">
        <x:v>Dan_mg3</x:v>
      </x:c>
      <x:c r="F28" s="17" t="n">
        <x:v>39.345527</x:v>
      </x:c>
    </x:row>
    <x:row r="29">
      <x:c r="A29" t="str">
        <x:v>CarE</x:v>
      </x:c>
      <x:c r="B29" t="str">
        <x:v>TRINITY_DN22_c1_g1</x:v>
      </x:c>
      <x:c r="C29" t="str">
        <x:v>Mul</x:v>
      </x:c>
      <x:c r="D29" t="n">
        <x:v>1</x:v>
      </x:c>
      <x:c r="E29" t="str">
        <x:v>Mul_mg1</x:v>
      </x:c>
      <x:c r="F29" s="17" t="n">
        <x:v>63.689823000000004</x:v>
      </x:c>
    </x:row>
    <x:row r="30">
      <x:c r="A30" t="str">
        <x:v>CarE</x:v>
      </x:c>
      <x:c r="B30" t="str">
        <x:v>TRINITY_DN22_c1_g1</x:v>
      </x:c>
      <x:c r="C30" t="str">
        <x:v>Mul</x:v>
      </x:c>
      <x:c r="D30" t="n">
        <x:v>2</x:v>
      </x:c>
      <x:c r="E30" t="str">
        <x:v>Mul_mg2</x:v>
      </x:c>
      <x:c r="F30" s="17" t="n">
        <x:v>49.329521</x:v>
      </x:c>
    </x:row>
    <x:row r="31">
      <x:c r="A31" t="str">
        <x:v>CarE</x:v>
      </x:c>
      <x:c r="B31" t="str">
        <x:v>TRINITY_DN22_c1_g1</x:v>
      </x:c>
      <x:c r="C31" t="str">
        <x:v>Mul</x:v>
      </x:c>
      <x:c r="D31" t="n">
        <x:v>3</x:v>
      </x:c>
      <x:c r="E31" t="str">
        <x:v>Mul_mg3</x:v>
      </x:c>
      <x:c r="F31" s="17" t="n">
        <x:v>67.72452</x:v>
      </x:c>
    </x:row>
    <x:row r="32">
      <x:c r="A32" t="str">
        <x:v>CarE</x:v>
      </x:c>
      <x:c r="B32" t="str">
        <x:v>TRINITY_DN22_c2_g1</x:v>
      </x:c>
      <x:c r="C32" t="str">
        <x:v>Dan</x:v>
      </x:c>
      <x:c r="D32" t="n">
        <x:v>1</x:v>
      </x:c>
      <x:c r="E32" t="str">
        <x:v>Dan_mg1</x:v>
      </x:c>
      <x:c r="F32" s="17" t="n">
        <x:v>5.728978</x:v>
      </x:c>
    </x:row>
    <x:row r="33">
      <x:c r="A33" t="str">
        <x:v>CarE</x:v>
      </x:c>
      <x:c r="B33" t="str">
        <x:v>TRINITY_DN22_c2_g1</x:v>
      </x:c>
      <x:c r="C33" t="str">
        <x:v>Dan</x:v>
      </x:c>
      <x:c r="D33" t="n">
        <x:v>2</x:v>
      </x:c>
      <x:c r="E33" t="str">
        <x:v>Dan_mg2</x:v>
      </x:c>
      <x:c r="F33" s="17" t="n">
        <x:v>8.329708</x:v>
      </x:c>
    </x:row>
    <x:row r="34">
      <x:c r="A34" t="str">
        <x:v>CarE</x:v>
      </x:c>
      <x:c r="B34" t="str">
        <x:v>TRINITY_DN22_c2_g1</x:v>
      </x:c>
      <x:c r="C34" t="str">
        <x:v>Dan</x:v>
      </x:c>
      <x:c r="D34" t="n">
        <x:v>3</x:v>
      </x:c>
      <x:c r="E34" t="str">
        <x:v>Dan_mg3</x:v>
      </x:c>
      <x:c r="F34" s="17" t="n">
        <x:v>7.30494</x:v>
      </x:c>
    </x:row>
    <x:row r="35">
      <x:c r="A35" t="str">
        <x:v>CarE</x:v>
      </x:c>
      <x:c r="B35" t="str">
        <x:v>TRINITY_DN22_c2_g1</x:v>
      </x:c>
      <x:c r="C35" t="str">
        <x:v>Mul</x:v>
      </x:c>
      <x:c r="D35" t="n">
        <x:v>1</x:v>
      </x:c>
      <x:c r="E35" t="str">
        <x:v>Mul_mg1</x:v>
      </x:c>
      <x:c r="F35" s="17" t="n">
        <x:v>7.244254</x:v>
      </x:c>
    </x:row>
    <x:row r="36">
      <x:c r="A36" t="str">
        <x:v>CarE</x:v>
      </x:c>
      <x:c r="B36" t="str">
        <x:v>TRINITY_DN22_c2_g1</x:v>
      </x:c>
      <x:c r="C36" t="str">
        <x:v>Mul</x:v>
      </x:c>
      <x:c r="D36" t="n">
        <x:v>2</x:v>
      </x:c>
      <x:c r="E36" t="str">
        <x:v>Mul_mg2</x:v>
      </x:c>
      <x:c r="F36" s="17" t="n">
        <x:v>6.256051</x:v>
      </x:c>
    </x:row>
    <x:row r="37">
      <x:c r="A37" t="str">
        <x:v>CarE</x:v>
      </x:c>
      <x:c r="B37" t="str">
        <x:v>TRINITY_DN22_c2_g1</x:v>
      </x:c>
      <x:c r="C37" t="str">
        <x:v>Mul</x:v>
      </x:c>
      <x:c r="D37" t="n">
        <x:v>3</x:v>
      </x:c>
      <x:c r="E37" t="str">
        <x:v>Mul_mg3</x:v>
      </x:c>
      <x:c r="F37" s="17" t="n">
        <x:v>7.466169</x:v>
      </x:c>
    </x:row>
    <x:row r="38">
      <x:c r="A38" t="str">
        <x:v>CarE</x:v>
      </x:c>
      <x:c r="B38" t="str">
        <x:v>TRINITY_DN2312_c0_g1</x:v>
      </x:c>
      <x:c r="C38" t="str">
        <x:v>Dan</x:v>
      </x:c>
      <x:c r="D38" t="n">
        <x:v>1</x:v>
      </x:c>
      <x:c r="E38" t="str">
        <x:v>Dan_mg1</x:v>
      </x:c>
      <x:c r="F38" s="17" t="n">
        <x:v>122.281248</x:v>
      </x:c>
    </x:row>
    <x:row r="39">
      <x:c r="A39" t="str">
        <x:v>CarE</x:v>
      </x:c>
      <x:c r="B39" t="str">
        <x:v>TRINITY_DN2312_c0_g1</x:v>
      </x:c>
      <x:c r="C39" t="str">
        <x:v>Dan</x:v>
      </x:c>
      <x:c r="D39" t="n">
        <x:v>2</x:v>
      </x:c>
      <x:c r="E39" t="str">
        <x:v>Dan_mg2</x:v>
      </x:c>
      <x:c r="F39" s="17" t="n">
        <x:v>273.593183</x:v>
      </x:c>
    </x:row>
    <x:row r="40">
      <x:c r="A40" t="str">
        <x:v>CarE</x:v>
      </x:c>
      <x:c r="B40" t="str">
        <x:v>TRINITY_DN2312_c0_g1</x:v>
      </x:c>
      <x:c r="C40" t="str">
        <x:v>Dan</x:v>
      </x:c>
      <x:c r="D40" t="n">
        <x:v>3</x:v>
      </x:c>
      <x:c r="E40" t="str">
        <x:v>Dan_mg3</x:v>
      </x:c>
      <x:c r="F40" s="17" t="n">
        <x:v>45.191125</x:v>
      </x:c>
    </x:row>
    <x:row r="41">
      <x:c r="A41" t="str">
        <x:v>CarE</x:v>
      </x:c>
      <x:c r="B41" t="str">
        <x:v>TRINITY_DN2312_c0_g1</x:v>
      </x:c>
      <x:c r="C41" t="str">
        <x:v>Mul</x:v>
      </x:c>
      <x:c r="D41" t="n">
        <x:v>1</x:v>
      </x:c>
      <x:c r="E41" t="str">
        <x:v>Mul_mg1</x:v>
      </x:c>
      <x:c r="F41" s="17" t="n">
        <x:v>35.55659</x:v>
      </x:c>
    </x:row>
    <x:row r="42">
      <x:c r="A42" t="str">
        <x:v>CarE</x:v>
      </x:c>
      <x:c r="B42" t="str">
        <x:v>TRINITY_DN2312_c0_g1</x:v>
      </x:c>
      <x:c r="C42" t="str">
        <x:v>Mul</x:v>
      </x:c>
      <x:c r="D42" t="n">
        <x:v>2</x:v>
      </x:c>
      <x:c r="E42" t="str">
        <x:v>Mul_mg2</x:v>
      </x:c>
      <x:c r="F42" s="17" t="n">
        <x:v>33.592735</x:v>
      </x:c>
    </x:row>
    <x:row r="43">
      <x:c r="A43" t="str">
        <x:v>CarE</x:v>
      </x:c>
      <x:c r="B43" t="str">
        <x:v>TRINITY_DN2312_c0_g1</x:v>
      </x:c>
      <x:c r="C43" t="str">
        <x:v>Mul</x:v>
      </x:c>
      <x:c r="D43" t="n">
        <x:v>3</x:v>
      </x:c>
      <x:c r="E43" t="str">
        <x:v>Mul_mg3</x:v>
      </x:c>
      <x:c r="F43" s="17" t="n">
        <x:v>34.845456</x:v>
      </x:c>
    </x:row>
    <x:row r="44">
      <x:c r="A44" t="str">
        <x:v>CarE</x:v>
      </x:c>
      <x:c r="B44" t="str">
        <x:v>TRINITY_DN235_c0_g1</x:v>
      </x:c>
      <x:c r="C44" t="str">
        <x:v>Dan</x:v>
      </x:c>
      <x:c r="D44" t="n">
        <x:v>1</x:v>
      </x:c>
      <x:c r="E44" t="str">
        <x:v>Dan_mg1</x:v>
      </x:c>
      <x:c r="F44" s="17" t="n">
        <x:v>20.578737</x:v>
      </x:c>
    </x:row>
    <x:row r="45">
      <x:c r="A45" t="str">
        <x:v>CarE</x:v>
      </x:c>
      <x:c r="B45" t="str">
        <x:v>TRINITY_DN235_c0_g1</x:v>
      </x:c>
      <x:c r="C45" t="str">
        <x:v>Dan</x:v>
      </x:c>
      <x:c r="D45" t="n">
        <x:v>2</x:v>
      </x:c>
      <x:c r="E45" t="str">
        <x:v>Dan_mg2</x:v>
      </x:c>
      <x:c r="F45" s="17" t="n">
        <x:v>27.055259000000003</x:v>
      </x:c>
    </x:row>
    <x:row r="46">
      <x:c r="A46" t="str">
        <x:v>CarE</x:v>
      </x:c>
      <x:c r="B46" t="str">
        <x:v>TRINITY_DN235_c0_g1</x:v>
      </x:c>
      <x:c r="C46" t="str">
        <x:v>Dan</x:v>
      </x:c>
      <x:c r="D46" t="n">
        <x:v>3</x:v>
      </x:c>
      <x:c r="E46" t="str">
        <x:v>Dan_mg3</x:v>
      </x:c>
      <x:c r="F46" s="17" t="n">
        <x:v>13.283896</x:v>
      </x:c>
    </x:row>
    <x:row r="47">
      <x:c r="A47" t="str">
        <x:v>CarE</x:v>
      </x:c>
      <x:c r="B47" t="str">
        <x:v>TRINITY_DN235_c0_g1</x:v>
      </x:c>
      <x:c r="C47" t="str">
        <x:v>Mul</x:v>
      </x:c>
      <x:c r="D47" t="n">
        <x:v>1</x:v>
      </x:c>
      <x:c r="E47" t="str">
        <x:v>Mul_mg1</x:v>
      </x:c>
      <x:c r="F47" s="17" t="n">
        <x:v>21.453209</x:v>
      </x:c>
    </x:row>
    <x:row r="48">
      <x:c r="A48" t="str">
        <x:v>CarE</x:v>
      </x:c>
      <x:c r="B48" t="str">
        <x:v>TRINITY_DN235_c0_g1</x:v>
      </x:c>
      <x:c r="C48" t="str">
        <x:v>Mul</x:v>
      </x:c>
      <x:c r="D48" t="n">
        <x:v>2</x:v>
      </x:c>
      <x:c r="E48" t="str">
        <x:v>Mul_mg2</x:v>
      </x:c>
      <x:c r="F48" s="17" t="n">
        <x:v>27.683482</x:v>
      </x:c>
    </x:row>
    <x:row r="49">
      <x:c r="A49" t="str">
        <x:v>CarE</x:v>
      </x:c>
      <x:c r="B49" t="str">
        <x:v>TRINITY_DN235_c0_g1</x:v>
      </x:c>
      <x:c r="C49" t="str">
        <x:v>Mul</x:v>
      </x:c>
      <x:c r="D49" t="n">
        <x:v>3</x:v>
      </x:c>
      <x:c r="E49" t="str">
        <x:v>Mul_mg3</x:v>
      </x:c>
      <x:c r="F49" s="17" t="n">
        <x:v>29.514065000000002</x:v>
      </x:c>
    </x:row>
    <x:row r="50">
      <x:c r="A50" t="str">
        <x:v>CarE</x:v>
      </x:c>
      <x:c r="B50" t="str">
        <x:v>TRINITY_DN25123_c0_g1</x:v>
      </x:c>
      <x:c r="C50" t="str">
        <x:v>Dan</x:v>
      </x:c>
      <x:c r="D50" t="n">
        <x:v>1</x:v>
      </x:c>
      <x:c r="E50" t="str">
        <x:v>Dan_mg1</x:v>
      </x:c>
      <x:c r="F50" s="17" t="n">
        <x:v>0.14831</x:v>
      </x:c>
    </x:row>
    <x:row r="51">
      <x:c r="A51" t="str">
        <x:v>CarE</x:v>
      </x:c>
      <x:c r="B51" t="str">
        <x:v>TRINITY_DN25123_c0_g1</x:v>
      </x:c>
      <x:c r="C51" t="str">
        <x:v>Dan</x:v>
      </x:c>
      <x:c r="D51" t="n">
        <x:v>2</x:v>
      </x:c>
      <x:c r="E51" t="str">
        <x:v>Dan_mg2</x:v>
      </x:c>
      <x:c r="F51" s="17" t="n">
        <x:v>0.310312</x:v>
      </x:c>
    </x:row>
    <x:row r="52">
      <x:c r="A52" t="str">
        <x:v>CarE</x:v>
      </x:c>
      <x:c r="B52" t="str">
        <x:v>TRINITY_DN25123_c0_g1</x:v>
      </x:c>
      <x:c r="C52" t="str">
        <x:v>Dan</x:v>
      </x:c>
      <x:c r="D52" t="n">
        <x:v>3</x:v>
      </x:c>
      <x:c r="E52" t="str">
        <x:v>Dan_mg3</x:v>
      </x:c>
      <x:c r="F52" s="17" t="n">
        <x:v>0.223771</x:v>
      </x:c>
    </x:row>
    <x:row r="53">
      <x:c r="A53" t="str">
        <x:v>CarE</x:v>
      </x:c>
      <x:c r="B53" t="str">
        <x:v>TRINITY_DN25123_c0_g1</x:v>
      </x:c>
      <x:c r="C53" t="str">
        <x:v>Mul</x:v>
      </x:c>
      <x:c r="D53" t="n">
        <x:v>1</x:v>
      </x:c>
      <x:c r="E53" t="str">
        <x:v>Mul_mg1</x:v>
      </x:c>
      <x:c r="F53" s="17" t="n">
        <x:v>0.151037</x:v>
      </x:c>
    </x:row>
    <x:row r="54">
      <x:c r="A54" t="str">
        <x:v>CarE</x:v>
      </x:c>
      <x:c r="B54" t="str">
        <x:v>TRINITY_DN25123_c0_g1</x:v>
      </x:c>
      <x:c r="C54" t="str">
        <x:v>Mul</x:v>
      </x:c>
      <x:c r="D54" t="n">
        <x:v>2</x:v>
      </x:c>
      <x:c r="E54" t="str">
        <x:v>Mul_mg2</x:v>
      </x:c>
      <x:c r="F54" s="17" t="n">
        <x:v>0.146694</x:v>
      </x:c>
    </x:row>
    <x:row r="55">
      <x:c r="A55" t="str">
        <x:v>CarE</x:v>
      </x:c>
      <x:c r="B55" t="str">
        <x:v>TRINITY_DN25123_c0_g1</x:v>
      </x:c>
      <x:c r="C55" t="str">
        <x:v>Mul</x:v>
      </x:c>
      <x:c r="D55" t="n">
        <x:v>3</x:v>
      </x:c>
      <x:c r="E55" t="str">
        <x:v>Mul_mg3</x:v>
      </x:c>
      <x:c r="F55" s="17" t="n">
        <x:v>0.105728</x:v>
      </x:c>
    </x:row>
    <x:row r="56">
      <x:c r="A56" t="str">
        <x:v>CarE</x:v>
      </x:c>
      <x:c r="B56" t="str">
        <x:v>TRINITY_DN256_c0_g1</x:v>
      </x:c>
      <x:c r="C56" t="str">
        <x:v>Dan</x:v>
      </x:c>
      <x:c r="D56" t="n">
        <x:v>1</x:v>
      </x:c>
      <x:c r="E56" t="str">
        <x:v>Dan_mg1</x:v>
      </x:c>
      <x:c r="F56" s="17" t="n">
        <x:v>68.639888</x:v>
      </x:c>
    </x:row>
    <x:row r="57">
      <x:c r="A57" t="str">
        <x:v>CarE</x:v>
      </x:c>
      <x:c r="B57" t="str">
        <x:v>TRINITY_DN256_c0_g1</x:v>
      </x:c>
      <x:c r="C57" t="str">
        <x:v>Dan</x:v>
      </x:c>
      <x:c r="D57" t="n">
        <x:v>2</x:v>
      </x:c>
      <x:c r="E57" t="str">
        <x:v>Dan_mg2</x:v>
      </x:c>
      <x:c r="F57" s="17" t="n">
        <x:v>76.05456699999999</x:v>
      </x:c>
    </x:row>
    <x:row r="58">
      <x:c r="A58" t="str">
        <x:v>CarE</x:v>
      </x:c>
      <x:c r="B58" t="str">
        <x:v>TRINITY_DN256_c0_g1</x:v>
      </x:c>
      <x:c r="C58" t="str">
        <x:v>Dan</x:v>
      </x:c>
      <x:c r="D58" t="n">
        <x:v>3</x:v>
      </x:c>
      <x:c r="E58" t="str">
        <x:v>Dan_mg3</x:v>
      </x:c>
      <x:c r="F58" s="17" t="n">
        <x:v>71.633096</x:v>
      </x:c>
    </x:row>
    <x:row r="59">
      <x:c r="A59" t="str">
        <x:v>CarE</x:v>
      </x:c>
      <x:c r="B59" t="str">
        <x:v>TRINITY_DN256_c0_g1</x:v>
      </x:c>
      <x:c r="C59" t="str">
        <x:v>Mul</x:v>
      </x:c>
      <x:c r="D59" t="n">
        <x:v>1</x:v>
      </x:c>
      <x:c r="E59" t="str">
        <x:v>Mul_mg1</x:v>
      </x:c>
      <x:c r="F59" s="17" t="n">
        <x:v>68.429578</x:v>
      </x:c>
    </x:row>
    <x:row r="60">
      <x:c r="A60" t="str">
        <x:v>CarE</x:v>
      </x:c>
      <x:c r="B60" t="str">
        <x:v>TRINITY_DN256_c0_g1</x:v>
      </x:c>
      <x:c r="C60" t="str">
        <x:v>Mul</x:v>
      </x:c>
      <x:c r="D60" t="n">
        <x:v>2</x:v>
      </x:c>
      <x:c r="E60" t="str">
        <x:v>Mul_mg2</x:v>
      </x:c>
      <x:c r="F60" s="17" t="n">
        <x:v>63.202992</x:v>
      </x:c>
    </x:row>
    <x:row r="61">
      <x:c r="A61" t="str">
        <x:v>CarE</x:v>
      </x:c>
      <x:c r="B61" t="str">
        <x:v>TRINITY_DN256_c0_g1</x:v>
      </x:c>
      <x:c r="C61" t="str">
        <x:v>Mul</x:v>
      </x:c>
      <x:c r="D61" t="n">
        <x:v>3</x:v>
      </x:c>
      <x:c r="E61" t="str">
        <x:v>Mul_mg3</x:v>
      </x:c>
      <x:c r="F61" s="17" t="n">
        <x:v>88.187764</x:v>
      </x:c>
    </x:row>
    <x:row r="62">
      <x:c r="A62" t="str">
        <x:v>CarE</x:v>
      </x:c>
      <x:c r="B62" t="str">
        <x:v>TRINITY_DN3016_c0_g1</x:v>
      </x:c>
      <x:c r="C62" t="str">
        <x:v>Dan</x:v>
      </x:c>
      <x:c r="D62" t="n">
        <x:v>1</x:v>
      </x:c>
      <x:c r="E62" t="str">
        <x:v>Dan_mg1</x:v>
      </x:c>
      <x:c r="F62" s="17" t="n">
        <x:v>24.182643</x:v>
      </x:c>
    </x:row>
    <x:row r="63">
      <x:c r="A63" t="str">
        <x:v>CarE</x:v>
      </x:c>
      <x:c r="B63" t="str">
        <x:v>TRINITY_DN3016_c0_g1</x:v>
      </x:c>
      <x:c r="C63" t="str">
        <x:v>Dan</x:v>
      </x:c>
      <x:c r="D63" t="n">
        <x:v>2</x:v>
      </x:c>
      <x:c r="E63" t="str">
        <x:v>Dan_mg2</x:v>
      </x:c>
      <x:c r="F63" s="17" t="n">
        <x:v>23.102034</x:v>
      </x:c>
    </x:row>
    <x:row r="64">
      <x:c r="A64" t="str">
        <x:v>CarE</x:v>
      </x:c>
      <x:c r="B64" t="str">
        <x:v>TRINITY_DN3016_c0_g1</x:v>
      </x:c>
      <x:c r="C64" t="str">
        <x:v>Dan</x:v>
      </x:c>
      <x:c r="D64" t="n">
        <x:v>3</x:v>
      </x:c>
      <x:c r="E64" t="str">
        <x:v>Dan_mg3</x:v>
      </x:c>
      <x:c r="F64" s="17" t="n">
        <x:v>4.213123</x:v>
      </x:c>
    </x:row>
    <x:row r="65">
      <x:c r="A65" t="str">
        <x:v>CarE</x:v>
      </x:c>
      <x:c r="B65" t="str">
        <x:v>TRINITY_DN3016_c0_g1</x:v>
      </x:c>
      <x:c r="C65" t="str">
        <x:v>Mul</x:v>
      </x:c>
      <x:c r="D65" t="n">
        <x:v>1</x:v>
      </x:c>
      <x:c r="E65" t="str">
        <x:v>Mul_mg1</x:v>
      </x:c>
      <x:c r="F65" s="17" t="n">
        <x:v>56.771411</x:v>
      </x:c>
    </x:row>
    <x:row r="66">
      <x:c r="A66" t="str">
        <x:v>CarE</x:v>
      </x:c>
      <x:c r="B66" t="str">
        <x:v>TRINITY_DN3016_c0_g1</x:v>
      </x:c>
      <x:c r="C66" t="str">
        <x:v>Mul</x:v>
      </x:c>
      <x:c r="D66" t="n">
        <x:v>2</x:v>
      </x:c>
      <x:c r="E66" t="str">
        <x:v>Mul_mg2</x:v>
      </x:c>
      <x:c r="F66" s="17" t="n">
        <x:v>47.238597999999996</x:v>
      </x:c>
    </x:row>
    <x:row r="67">
      <x:c r="A67" t="str">
        <x:v>CarE</x:v>
      </x:c>
      <x:c r="B67" t="str">
        <x:v>TRINITY_DN3016_c0_g1</x:v>
      </x:c>
      <x:c r="C67" t="str">
        <x:v>Mul</x:v>
      </x:c>
      <x:c r="D67" t="n">
        <x:v>3</x:v>
      </x:c>
      <x:c r="E67" t="str">
        <x:v>Mul_mg3</x:v>
      </x:c>
      <x:c r="F67" s="17" t="n">
        <x:v>56.849317</x:v>
      </x:c>
    </x:row>
    <x:row r="68">
      <x:c r="A68" t="str">
        <x:v>CarE</x:v>
      </x:c>
      <x:c r="B68" t="str">
        <x:v>TRINITY_DN5029_c0_g1</x:v>
      </x:c>
      <x:c r="C68" t="str">
        <x:v>Dan</x:v>
      </x:c>
      <x:c r="D68" t="n">
        <x:v>1</x:v>
      </x:c>
      <x:c r="E68" t="str">
        <x:v>Dan_mg1</x:v>
      </x:c>
      <x:c r="F68" s="17" t="n">
        <x:v>0.114009</x:v>
      </x:c>
    </x:row>
    <x:row r="69">
      <x:c r="A69" t="str">
        <x:v>CarE</x:v>
      </x:c>
      <x:c r="B69" t="str">
        <x:v>TRINITY_DN5029_c0_g1</x:v>
      </x:c>
      <x:c r="C69" t="str">
        <x:v>Dan</x:v>
      </x:c>
      <x:c r="D69" t="n">
        <x:v>2</x:v>
      </x:c>
      <x:c r="E69" t="str">
        <x:v>Dan_mg2</x:v>
      </x:c>
      <x:c r="F69" s="17" t="n">
        <x:v>3.564317</x:v>
      </x:c>
    </x:row>
    <x:row r="70">
      <x:c r="A70" t="str">
        <x:v>CarE</x:v>
      </x:c>
      <x:c r="B70" t="str">
        <x:v>TRINITY_DN5029_c0_g1</x:v>
      </x:c>
      <x:c r="C70" t="str">
        <x:v>Dan</x:v>
      </x:c>
      <x:c r="D70" t="n">
        <x:v>3</x:v>
      </x:c>
      <x:c r="E70" t="str">
        <x:v>Dan_mg3</x:v>
      </x:c>
      <x:c r="F70" s="17" t="n">
        <x:v>0.159466</x:v>
      </x:c>
    </x:row>
    <x:row r="71">
      <x:c r="A71" t="str">
        <x:v>CarE</x:v>
      </x:c>
      <x:c r="B71" t="str">
        <x:v>TRINITY_DN5029_c0_g1</x:v>
      </x:c>
      <x:c r="C71" t="str">
        <x:v>Mul</x:v>
      </x:c>
      <x:c r="D71" t="n">
        <x:v>1</x:v>
      </x:c>
      <x:c r="E71" t="str">
        <x:v>Mul_mg1</x:v>
      </x:c>
      <x:c r="F71" s="17" t="n">
        <x:v>5.405727000000001</x:v>
      </x:c>
    </x:row>
    <x:row r="72">
      <x:c r="A72" t="str">
        <x:v>CarE</x:v>
      </x:c>
      <x:c r="B72" t="str">
        <x:v>TRINITY_DN5029_c0_g1</x:v>
      </x:c>
      <x:c r="C72" t="str">
        <x:v>Mul</x:v>
      </x:c>
      <x:c r="D72" t="n">
        <x:v>2</x:v>
      </x:c>
      <x:c r="E72" t="str">
        <x:v>Mul_mg2</x:v>
      </x:c>
      <x:c r="F72" s="17" t="n">
        <x:v>2.689457</x:v>
      </x:c>
    </x:row>
    <x:row r="73">
      <x:c r="A73" t="str">
        <x:v>CarE</x:v>
      </x:c>
      <x:c r="B73" t="str">
        <x:v>TRINITY_DN5029_c0_g1</x:v>
      </x:c>
      <x:c r="C73" t="str">
        <x:v>Mul</x:v>
      </x:c>
      <x:c r="D73" t="n">
        <x:v>3</x:v>
      </x:c>
      <x:c r="E73" t="str">
        <x:v>Mul_mg3</x:v>
      </x:c>
      <x:c r="F73" s="17" t="n">
        <x:v>1.137344</x:v>
      </x:c>
    </x:row>
    <x:row r="74">
      <x:c r="A74" t="str">
        <x:v>CarE</x:v>
      </x:c>
      <x:c r="B74" t="str">
        <x:v>TRINITY_DN5285_c0_g1</x:v>
      </x:c>
      <x:c r="C74" t="str">
        <x:v>Dan</x:v>
      </x:c>
      <x:c r="D74" t="n">
        <x:v>1</x:v>
      </x:c>
      <x:c r="E74" t="str">
        <x:v>Dan_mg1</x:v>
      </x:c>
      <x:c r="F74" s="17" t="n">
        <x:v>41.630706</x:v>
      </x:c>
    </x:row>
    <x:row r="75">
      <x:c r="A75" t="str">
        <x:v>CarE</x:v>
      </x:c>
      <x:c r="B75" t="str">
        <x:v>TRINITY_DN5285_c0_g1</x:v>
      </x:c>
      <x:c r="C75" t="str">
        <x:v>Dan</x:v>
      </x:c>
      <x:c r="D75" t="n">
        <x:v>2</x:v>
      </x:c>
      <x:c r="E75" t="str">
        <x:v>Dan_mg2</x:v>
      </x:c>
      <x:c r="F75" s="17" t="n">
        <x:v>52.31971</x:v>
      </x:c>
    </x:row>
    <x:row r="76">
      <x:c r="A76" t="str">
        <x:v>CarE</x:v>
      </x:c>
      <x:c r="B76" t="str">
        <x:v>TRINITY_DN5285_c0_g1</x:v>
      </x:c>
      <x:c r="C76" t="str">
        <x:v>Dan</x:v>
      </x:c>
      <x:c r="D76" t="n">
        <x:v>3</x:v>
      </x:c>
      <x:c r="E76" t="str">
        <x:v>Dan_mg3</x:v>
      </x:c>
      <x:c r="F76" s="17" t="n">
        <x:v>35.33123</x:v>
      </x:c>
    </x:row>
    <x:row r="77">
      <x:c r="A77" t="str">
        <x:v>CarE</x:v>
      </x:c>
      <x:c r="B77" t="str">
        <x:v>TRINITY_DN5285_c0_g1</x:v>
      </x:c>
      <x:c r="C77" t="str">
        <x:v>Mul</x:v>
      </x:c>
      <x:c r="D77" t="n">
        <x:v>1</x:v>
      </x:c>
      <x:c r="E77" t="str">
        <x:v>Mul_mg1</x:v>
      </x:c>
      <x:c r="F77" s="17" t="n">
        <x:v>56.484621</x:v>
      </x:c>
    </x:row>
    <x:row r="78">
      <x:c r="A78" t="str">
        <x:v>CarE</x:v>
      </x:c>
      <x:c r="B78" t="str">
        <x:v>TRINITY_DN5285_c0_g1</x:v>
      </x:c>
      <x:c r="C78" t="str">
        <x:v>Mul</x:v>
      </x:c>
      <x:c r="D78" t="n">
        <x:v>2</x:v>
      </x:c>
      <x:c r="E78" t="str">
        <x:v>Mul_mg2</x:v>
      </x:c>
      <x:c r="F78" s="17" t="n">
        <x:v>51.264856</x:v>
      </x:c>
    </x:row>
    <x:row r="79">
      <x:c r="A79" t="str">
        <x:v>CarE</x:v>
      </x:c>
      <x:c r="B79" t="str">
        <x:v>TRINITY_DN5285_c0_g1</x:v>
      </x:c>
      <x:c r="C79" t="str">
        <x:v>Mul</x:v>
      </x:c>
      <x:c r="D79" t="n">
        <x:v>3</x:v>
      </x:c>
      <x:c r="E79" t="str">
        <x:v>Mul_mg3</x:v>
      </x:c>
      <x:c r="F79" s="17" t="n">
        <x:v>77.552592</x:v>
      </x:c>
    </x:row>
    <x:row r="80">
      <x:c r="A80" t="str">
        <x:v>CarE</x:v>
      </x:c>
      <x:c r="B80" t="str">
        <x:v>TRINITY_DN552_c0_g1</x:v>
      </x:c>
      <x:c r="C80" t="str">
        <x:v>Dan</x:v>
      </x:c>
      <x:c r="D80" t="n">
        <x:v>1</x:v>
      </x:c>
      <x:c r="E80" t="str">
        <x:v>Dan_mg1</x:v>
      </x:c>
      <x:c r="F80" s="17" t="n">
        <x:v>71.68526800000001</x:v>
      </x:c>
    </x:row>
    <x:row r="81">
      <x:c r="A81" t="str">
        <x:v>CarE</x:v>
      </x:c>
      <x:c r="B81" t="str">
        <x:v>TRINITY_DN552_c0_g1</x:v>
      </x:c>
      <x:c r="C81" t="str">
        <x:v>Dan</x:v>
      </x:c>
      <x:c r="D81" t="n">
        <x:v>2</x:v>
      </x:c>
      <x:c r="E81" t="str">
        <x:v>Dan_mg2</x:v>
      </x:c>
      <x:c r="F81" s="17" t="n">
        <x:v>69.841554</x:v>
      </x:c>
    </x:row>
    <x:row r="82">
      <x:c r="A82" t="str">
        <x:v>CarE</x:v>
      </x:c>
      <x:c r="B82" t="str">
        <x:v>TRINITY_DN552_c0_g1</x:v>
      </x:c>
      <x:c r="C82" t="str">
        <x:v>Dan</x:v>
      </x:c>
      <x:c r="D82" t="n">
        <x:v>3</x:v>
      </x:c>
      <x:c r="E82" t="str">
        <x:v>Dan_mg3</x:v>
      </x:c>
      <x:c r="F82" s="17" t="n">
        <x:v>103.22563299999999</x:v>
      </x:c>
    </x:row>
    <x:row r="83">
      <x:c r="A83" t="str">
        <x:v>CarE</x:v>
      </x:c>
      <x:c r="B83" t="str">
        <x:v>TRINITY_DN552_c0_g1</x:v>
      </x:c>
      <x:c r="C83" t="str">
        <x:v>Mul</x:v>
      </x:c>
      <x:c r="D83" t="n">
        <x:v>1</x:v>
      </x:c>
      <x:c r="E83" t="str">
        <x:v>Mul_mg1</x:v>
      </x:c>
      <x:c r="F83" s="17" t="n">
        <x:v>59.20842</x:v>
      </x:c>
    </x:row>
    <x:row r="84">
      <x:c r="A84" t="str">
        <x:v>CarE</x:v>
      </x:c>
      <x:c r="B84" t="str">
        <x:v>TRINITY_DN552_c0_g1</x:v>
      </x:c>
      <x:c r="C84" t="str">
        <x:v>Mul</x:v>
      </x:c>
      <x:c r="D84" t="n">
        <x:v>2</x:v>
      </x:c>
      <x:c r="E84" t="str">
        <x:v>Mul_mg2</x:v>
      </x:c>
      <x:c r="F84" s="17" t="n">
        <x:v>73.54925300000001</x:v>
      </x:c>
    </x:row>
    <x:row r="85">
      <x:c r="A85" t="str">
        <x:v>CarE</x:v>
      </x:c>
      <x:c r="B85" t="str">
        <x:v>TRINITY_DN552_c0_g1</x:v>
      </x:c>
      <x:c r="C85" t="str">
        <x:v>Mul</x:v>
      </x:c>
      <x:c r="D85" t="n">
        <x:v>3</x:v>
      </x:c>
      <x:c r="E85" t="str">
        <x:v>Mul_mg3</x:v>
      </x:c>
      <x:c r="F85" s="17" t="n">
        <x:v>66.278902</x:v>
      </x:c>
    </x:row>
    <x:row r="86">
      <x:c r="A86" t="str">
        <x:v>CarE</x:v>
      </x:c>
      <x:c r="B86" t="str">
        <x:v>TRINITY_DN58976_c0_g1</x:v>
      </x:c>
      <x:c r="C86" t="str">
        <x:v>Dan</x:v>
      </x:c>
      <x:c r="D86" t="n">
        <x:v>1</x:v>
      </x:c>
      <x:c r="E86" t="str">
        <x:v>Dan_mg1</x:v>
      </x:c>
      <x:c r="F86" s="17" t="n">
        <x:v>0.028288</x:v>
      </x:c>
    </x:row>
    <x:row r="87">
      <x:c r="A87" t="str">
        <x:v>CarE</x:v>
      </x:c>
      <x:c r="B87" t="str">
        <x:v>TRINITY_DN58976_c0_g1</x:v>
      </x:c>
      <x:c r="C87" t="str">
        <x:v>Dan</x:v>
      </x:c>
      <x:c r="D87" t="n">
        <x:v>2</x:v>
      </x:c>
      <x:c r="E87" t="str">
        <x:v>Dan_mg2</x:v>
      </x:c>
      <x:c r="F87" s="17" t="n">
        <x:v>0.821056</x:v>
      </x:c>
    </x:row>
    <x:row r="88">
      <x:c r="A88" t="str">
        <x:v>CarE</x:v>
      </x:c>
      <x:c r="B88" t="str">
        <x:v>TRINITY_DN58976_c0_g1</x:v>
      </x:c>
      <x:c r="C88" t="str">
        <x:v>Dan</x:v>
      </x:c>
      <x:c r="D88" t="n">
        <x:v>3</x:v>
      </x:c>
      <x:c r="E88" t="str">
        <x:v>Dan_mg3</x:v>
      </x:c>
      <x:c r="F88" s="17" t="n">
        <x:v>0.986019</x:v>
      </x:c>
    </x:row>
    <x:row r="89">
      <x:c r="A89" t="str">
        <x:v>CarE</x:v>
      </x:c>
      <x:c r="B89" t="str">
        <x:v>TRINITY_DN58976_c0_g1</x:v>
      </x:c>
      <x:c r="C89" t="str">
        <x:v>Mul</x:v>
      </x:c>
      <x:c r="D89" t="n">
        <x:v>1</x:v>
      </x:c>
      <x:c r="E89" t="str">
        <x:v>Mul_mg1</x:v>
      </x:c>
      <x:c r="F89" s="17" t="n">
        <x:v>0.279525</x:v>
      </x:c>
    </x:row>
    <x:row r="90">
      <x:c r="A90" t="str">
        <x:v>CarE</x:v>
      </x:c>
      <x:c r="B90" t="str">
        <x:v>TRINITY_DN58976_c0_g1</x:v>
      </x:c>
      <x:c r="C90" t="str">
        <x:v>Mul</x:v>
      </x:c>
      <x:c r="D90" t="n">
        <x:v>2</x:v>
      </x:c>
      <x:c r="E90" t="str">
        <x:v>Mul_mg2</x:v>
      </x:c>
      <x:c r="F90" s="17" t="n">
        <x:v>0.114472</x:v>
      </x:c>
    </x:row>
    <x:row r="91">
      <x:c r="A91" t="str">
        <x:v>CarE</x:v>
      </x:c>
      <x:c r="B91" t="str">
        <x:v>TRINITY_DN58976_c0_g1</x:v>
      </x:c>
      <x:c r="C91" t="str">
        <x:v>Mul</x:v>
      </x:c>
      <x:c r="D91" t="n">
        <x:v>3</x:v>
      </x:c>
      <x:c r="E91" t="str">
        <x:v>Mul_mg3</x:v>
      </x:c>
      <x:c r="F91" s="17" t="n">
        <x:v>0.113989</x:v>
      </x:c>
    </x:row>
    <x:row r="92">
      <x:c r="A92" t="str">
        <x:v>CarE</x:v>
      </x:c>
      <x:c r="B92" t="str">
        <x:v>TRINITY_DN604_c0_g1</x:v>
      </x:c>
      <x:c r="C92" t="str">
        <x:v>Dan</x:v>
      </x:c>
      <x:c r="D92" t="n">
        <x:v>1</x:v>
      </x:c>
      <x:c r="E92" t="str">
        <x:v>Dan_mg1</x:v>
      </x:c>
      <x:c r="F92" s="17" t="n">
        <x:v>583.451471</x:v>
      </x:c>
    </x:row>
    <x:row r="93">
      <x:c r="A93" t="str">
        <x:v>CarE</x:v>
      </x:c>
      <x:c r="B93" t="str">
        <x:v>TRINITY_DN604_c0_g1</x:v>
      </x:c>
      <x:c r="C93" t="str">
        <x:v>Dan</x:v>
      </x:c>
      <x:c r="D93" t="n">
        <x:v>2</x:v>
      </x:c>
      <x:c r="E93" t="str">
        <x:v>Dan_mg2</x:v>
      </x:c>
      <x:c r="F93" s="17" t="n">
        <x:v>549.737877</x:v>
      </x:c>
    </x:row>
    <x:row r="94">
      <x:c r="A94" t="str">
        <x:v>CarE</x:v>
      </x:c>
      <x:c r="B94" t="str">
        <x:v>TRINITY_DN604_c0_g1</x:v>
      </x:c>
      <x:c r="C94" t="str">
        <x:v>Dan</x:v>
      </x:c>
      <x:c r="D94" t="n">
        <x:v>3</x:v>
      </x:c>
      <x:c r="E94" t="str">
        <x:v>Dan_mg3</x:v>
      </x:c>
      <x:c r="F94" s="17" t="n">
        <x:v>1522.0172830000001</x:v>
      </x:c>
    </x:row>
    <x:row r="95">
      <x:c r="A95" t="str">
        <x:v>CarE</x:v>
      </x:c>
      <x:c r="B95" t="str">
        <x:v>TRINITY_DN604_c0_g1</x:v>
      </x:c>
      <x:c r="C95" t="str">
        <x:v>Mul</x:v>
      </x:c>
      <x:c r="D95" t="n">
        <x:v>1</x:v>
      </x:c>
      <x:c r="E95" t="str">
        <x:v>Mul_mg1</x:v>
      </x:c>
      <x:c r="F95" s="17" t="n">
        <x:v>571.098655</x:v>
      </x:c>
    </x:row>
    <x:row r="96">
      <x:c r="A96" t="str">
        <x:v>CarE</x:v>
      </x:c>
      <x:c r="B96" t="str">
        <x:v>TRINITY_DN604_c0_g1</x:v>
      </x:c>
      <x:c r="C96" t="str">
        <x:v>Mul</x:v>
      </x:c>
      <x:c r="D96" t="n">
        <x:v>2</x:v>
      </x:c>
      <x:c r="E96" t="str">
        <x:v>Mul_mg2</x:v>
      </x:c>
      <x:c r="F96" s="17" t="n">
        <x:v>1493.007143</x:v>
      </x:c>
    </x:row>
    <x:row r="97">
      <x:c r="A97" t="str">
        <x:v>CarE</x:v>
      </x:c>
      <x:c r="B97" t="str">
        <x:v>TRINITY_DN604_c0_g1</x:v>
      </x:c>
      <x:c r="C97" t="str">
        <x:v>Mul</x:v>
      </x:c>
      <x:c r="D97" t="n">
        <x:v>3</x:v>
      </x:c>
      <x:c r="E97" t="str">
        <x:v>Mul_mg3</x:v>
      </x:c>
      <x:c r="F97" s="17" t="n">
        <x:v>795.135999</x:v>
      </x:c>
    </x:row>
    <x:row r="98">
      <x:c r="A98" t="str">
        <x:v>CarE</x:v>
      </x:c>
      <x:c r="B98" t="str">
        <x:v>TRINITY_DN665_c0_g1</x:v>
      </x:c>
      <x:c r="C98" t="str">
        <x:v>Dan</x:v>
      </x:c>
      <x:c r="D98" t="n">
        <x:v>1</x:v>
      </x:c>
      <x:c r="E98" t="str">
        <x:v>Dan_mg1</x:v>
      </x:c>
      <x:c r="F98" s="17" t="n">
        <x:v>33.449305</x:v>
      </x:c>
    </x:row>
    <x:row r="99">
      <x:c r="A99" t="str">
        <x:v>CarE</x:v>
      </x:c>
      <x:c r="B99" t="str">
        <x:v>TRINITY_DN665_c0_g1</x:v>
      </x:c>
      <x:c r="C99" t="str">
        <x:v>Dan</x:v>
      </x:c>
      <x:c r="D99" t="n">
        <x:v>2</x:v>
      </x:c>
      <x:c r="E99" t="str">
        <x:v>Dan_mg2</x:v>
      </x:c>
      <x:c r="F99" s="17" t="n">
        <x:v>31.893776</x:v>
      </x:c>
    </x:row>
    <x:row r="100">
      <x:c r="A100" t="str">
        <x:v>CarE</x:v>
      </x:c>
      <x:c r="B100" t="str">
        <x:v>TRINITY_DN665_c0_g1</x:v>
      </x:c>
      <x:c r="C100" t="str">
        <x:v>Dan</x:v>
      </x:c>
      <x:c r="D100" t="n">
        <x:v>3</x:v>
      </x:c>
      <x:c r="E100" t="str">
        <x:v>Dan_mg3</x:v>
      </x:c>
      <x:c r="F100" s="17" t="n">
        <x:v>31.835379</x:v>
      </x:c>
    </x:row>
    <x:row r="101">
      <x:c r="A101" t="str">
        <x:v>CarE</x:v>
      </x:c>
      <x:c r="B101" t="str">
        <x:v>TRINITY_DN665_c0_g1</x:v>
      </x:c>
      <x:c r="C101" t="str">
        <x:v>Mul</x:v>
      </x:c>
      <x:c r="D101" t="n">
        <x:v>1</x:v>
      </x:c>
      <x:c r="E101" t="str">
        <x:v>Mul_mg1</x:v>
      </x:c>
      <x:c r="F101" s="17" t="n">
        <x:v>43.741825</x:v>
      </x:c>
    </x:row>
    <x:row r="102">
      <x:c r="A102" t="str">
        <x:v>CarE</x:v>
      </x:c>
      <x:c r="B102" t="str">
        <x:v>TRINITY_DN665_c0_g1</x:v>
      </x:c>
      <x:c r="C102" t="str">
        <x:v>Mul</x:v>
      </x:c>
      <x:c r="D102" t="n">
        <x:v>2</x:v>
      </x:c>
      <x:c r="E102" t="str">
        <x:v>Mul_mg2</x:v>
      </x:c>
      <x:c r="F102" s="17" t="n">
        <x:v>56.578534</x:v>
      </x:c>
    </x:row>
    <x:row r="103">
      <x:c r="A103" t="str">
        <x:v>CarE</x:v>
      </x:c>
      <x:c r="B103" t="str">
        <x:v>TRINITY_DN665_c0_g1</x:v>
      </x:c>
      <x:c r="C103" t="str">
        <x:v>Mul</x:v>
      </x:c>
      <x:c r="D103" t="n">
        <x:v>3</x:v>
      </x:c>
      <x:c r="E103" t="str">
        <x:v>Mul_mg3</x:v>
      </x:c>
      <x:c r="F103" s="17" t="n">
        <x:v>124.993016</x:v>
      </x:c>
    </x:row>
    <x:row r="104">
      <x:c r="A104" t="str">
        <x:v>CarE</x:v>
      </x:c>
      <x:c r="B104" t="str">
        <x:v>TRINITY_DN69_c0_g1</x:v>
      </x:c>
      <x:c r="C104" t="str">
        <x:v>Dan</x:v>
      </x:c>
      <x:c r="D104" t="n">
        <x:v>1</x:v>
      </x:c>
      <x:c r="E104" t="str">
        <x:v>Dan_mg1</x:v>
      </x:c>
      <x:c r="F104" s="17" t="n">
        <x:v>224.300983</x:v>
      </x:c>
    </x:row>
    <x:row r="105">
      <x:c r="A105" t="str">
        <x:v>CarE</x:v>
      </x:c>
      <x:c r="B105" t="str">
        <x:v>TRINITY_DN69_c0_g1</x:v>
      </x:c>
      <x:c r="C105" t="str">
        <x:v>Dan</x:v>
      </x:c>
      <x:c r="D105" t="n">
        <x:v>2</x:v>
      </x:c>
      <x:c r="E105" t="str">
        <x:v>Dan_mg2</x:v>
      </x:c>
      <x:c r="F105" s="17" t="n">
        <x:v>271.85749300000003</x:v>
      </x:c>
    </x:row>
    <x:row r="106">
      <x:c r="A106" t="str">
        <x:v>CarE</x:v>
      </x:c>
      <x:c r="B106" t="str">
        <x:v>TRINITY_DN69_c0_g1</x:v>
      </x:c>
      <x:c r="C106" t="str">
        <x:v>Dan</x:v>
      </x:c>
      <x:c r="D106" t="n">
        <x:v>3</x:v>
      </x:c>
      <x:c r="E106" t="str">
        <x:v>Dan_mg3</x:v>
      </x:c>
      <x:c r="F106" s="17" t="n">
        <x:v>389.68120999999996</x:v>
      </x:c>
    </x:row>
    <x:row r="107">
      <x:c r="A107" t="str">
        <x:v>CarE</x:v>
      </x:c>
      <x:c r="B107" t="str">
        <x:v>TRINITY_DN69_c0_g1</x:v>
      </x:c>
      <x:c r="C107" t="str">
        <x:v>Mul</x:v>
      </x:c>
      <x:c r="D107" t="n">
        <x:v>1</x:v>
      </x:c>
      <x:c r="E107" t="str">
        <x:v>Mul_mg1</x:v>
      </x:c>
      <x:c r="F107" s="17" t="n">
        <x:v>144.332576</x:v>
      </x:c>
    </x:row>
    <x:row r="108">
      <x:c r="A108" t="str">
        <x:v>CarE</x:v>
      </x:c>
      <x:c r="B108" t="str">
        <x:v>TRINITY_DN69_c0_g1</x:v>
      </x:c>
      <x:c r="C108" t="str">
        <x:v>Mul</x:v>
      </x:c>
      <x:c r="D108" t="n">
        <x:v>2</x:v>
      </x:c>
      <x:c r="E108" t="str">
        <x:v>Mul_mg2</x:v>
      </x:c>
      <x:c r="F108" s="17" t="n">
        <x:v>178.875345</x:v>
      </x:c>
    </x:row>
    <x:row r="109">
      <x:c r="A109" t="str">
        <x:v>CarE</x:v>
      </x:c>
      <x:c r="B109" t="str">
        <x:v>TRINITY_DN69_c0_g1</x:v>
      </x:c>
      <x:c r="C109" t="str">
        <x:v>Mul</x:v>
      </x:c>
      <x:c r="D109" t="n">
        <x:v>3</x:v>
      </x:c>
      <x:c r="E109" t="str">
        <x:v>Mul_mg3</x:v>
      </x:c>
      <x:c r="F109" s="17" t="n">
        <x:v>202.276665</x:v>
      </x:c>
    </x:row>
    <x:row r="110">
      <x:c r="A110" t="str">
        <x:v>CarE</x:v>
      </x:c>
      <x:c r="B110" t="str">
        <x:v>TRINITY_DN920_c0_g1</x:v>
      </x:c>
      <x:c r="C110" t="str">
        <x:v>Dan</x:v>
      </x:c>
      <x:c r="D110" t="n">
        <x:v>1</x:v>
      </x:c>
      <x:c r="E110" t="str">
        <x:v>Dan_mg1</x:v>
      </x:c>
      <x:c r="F110" s="17" t="n">
        <x:v>180.352236</x:v>
      </x:c>
    </x:row>
    <x:row r="111">
      <x:c r="A111" t="str">
        <x:v>CarE</x:v>
      </x:c>
      <x:c r="B111" t="str">
        <x:v>TRINITY_DN920_c0_g1</x:v>
      </x:c>
      <x:c r="C111" t="str">
        <x:v>Dan</x:v>
      </x:c>
      <x:c r="D111" t="n">
        <x:v>2</x:v>
      </x:c>
      <x:c r="E111" t="str">
        <x:v>Dan_mg2</x:v>
      </x:c>
      <x:c r="F111" s="17" t="n">
        <x:v>423.857169</x:v>
      </x:c>
    </x:row>
    <x:row r="112">
      <x:c r="A112" t="str">
        <x:v>CarE</x:v>
      </x:c>
      <x:c r="B112" t="str">
        <x:v>TRINITY_DN920_c0_g1</x:v>
      </x:c>
      <x:c r="C112" t="str">
        <x:v>Dan</x:v>
      </x:c>
      <x:c r="D112" t="n">
        <x:v>3</x:v>
      </x:c>
      <x:c r="E112" t="str">
        <x:v>Dan_mg3</x:v>
      </x:c>
      <x:c r="F112" s="17" t="n">
        <x:v>334.737678</x:v>
      </x:c>
    </x:row>
    <x:row r="113">
      <x:c r="A113" t="str">
        <x:v>CarE</x:v>
      </x:c>
      <x:c r="B113" t="str">
        <x:v>TRINITY_DN920_c0_g1</x:v>
      </x:c>
      <x:c r="C113" t="str">
        <x:v>Mul</x:v>
      </x:c>
      <x:c r="D113" t="n">
        <x:v>1</x:v>
      </x:c>
      <x:c r="E113" t="str">
        <x:v>Mul_mg1</x:v>
      </x:c>
      <x:c r="F113" s="17" t="n">
        <x:v>511.927886</x:v>
      </x:c>
    </x:row>
    <x:row r="114">
      <x:c r="A114" t="str">
        <x:v>CarE</x:v>
      </x:c>
      <x:c r="B114" t="str">
        <x:v>TRINITY_DN920_c0_g1</x:v>
      </x:c>
      <x:c r="C114" t="str">
        <x:v>Mul</x:v>
      </x:c>
      <x:c r="D114" t="n">
        <x:v>2</x:v>
      </x:c>
      <x:c r="E114" t="str">
        <x:v>Mul_mg2</x:v>
      </x:c>
      <x:c r="F114" s="17" t="n">
        <x:v>453.930606</x:v>
      </x:c>
    </x:row>
    <x:row r="115">
      <x:c r="A115" t="str">
        <x:v>CarE</x:v>
      </x:c>
      <x:c r="B115" t="str">
        <x:v>TRINITY_DN920_c0_g1</x:v>
      </x:c>
      <x:c r="C115" t="str">
        <x:v>Mul</x:v>
      </x:c>
      <x:c r="D115" t="n">
        <x:v>3</x:v>
      </x:c>
      <x:c r="E115" t="str">
        <x:v>Mul_mg3</x:v>
      </x:c>
      <x:c r="F115" s="17" t="n">
        <x:v>739.705277</x:v>
      </x:c>
    </x:row>
    <x:row r="116">
      <x:c r="A116" t="str">
        <x:v>CarE</x:v>
      </x:c>
      <x:c r="B116" t="str">
        <x:v>TRINITY_DN9322_c0_g2</x:v>
      </x:c>
      <x:c r="C116" t="str">
        <x:v>Dan</x:v>
      </x:c>
      <x:c r="D116" t="n">
        <x:v>1</x:v>
      </x:c>
      <x:c r="E116" t="str">
        <x:v>Dan_mg1</x:v>
      </x:c>
      <x:c r="F116" s="17" t="n">
        <x:v>2.729488</x:v>
      </x:c>
    </x:row>
    <x:row r="117">
      <x:c r="A117" t="str">
        <x:v>CarE</x:v>
      </x:c>
      <x:c r="B117" t="str">
        <x:v>TRINITY_DN9322_c0_g2</x:v>
      </x:c>
      <x:c r="C117" t="str">
        <x:v>Dan</x:v>
      </x:c>
      <x:c r="D117" t="n">
        <x:v>2</x:v>
      </x:c>
      <x:c r="E117" t="str">
        <x:v>Dan_mg2</x:v>
      </x:c>
      <x:c r="F117" s="17" t="n">
        <x:v>4.091293</x:v>
      </x:c>
    </x:row>
    <x:row r="118">
      <x:c r="A118" t="str">
        <x:v>CarE</x:v>
      </x:c>
      <x:c r="B118" t="str">
        <x:v>TRINITY_DN9322_c0_g2</x:v>
      </x:c>
      <x:c r="C118" t="str">
        <x:v>Dan</x:v>
      </x:c>
      <x:c r="D118" t="n">
        <x:v>3</x:v>
      </x:c>
      <x:c r="E118" t="str">
        <x:v>Dan_mg3</x:v>
      </x:c>
      <x:c r="F118" s="17" t="n">
        <x:v>2.315495</x:v>
      </x:c>
    </x:row>
    <x:row r="119">
      <x:c r="A119" t="str">
        <x:v>CarE</x:v>
      </x:c>
      <x:c r="B119" t="str">
        <x:v>TRINITY_DN9322_c0_g2</x:v>
      </x:c>
      <x:c r="C119" t="str">
        <x:v>Mul</x:v>
      </x:c>
      <x:c r="D119" t="n">
        <x:v>1</x:v>
      </x:c>
      <x:c r="E119" t="str">
        <x:v>Mul_mg1</x:v>
      </x:c>
      <x:c r="F119" s="17" t="n">
        <x:v>4.268961999999999</x:v>
      </x:c>
    </x:row>
    <x:row r="120">
      <x:c r="A120" t="str">
        <x:v>CarE</x:v>
      </x:c>
      <x:c r="B120" t="str">
        <x:v>TRINITY_DN9322_c0_g2</x:v>
      </x:c>
      <x:c r="C120" t="str">
        <x:v>Mul</x:v>
      </x:c>
      <x:c r="D120" t="n">
        <x:v>2</x:v>
      </x:c>
      <x:c r="E120" t="str">
        <x:v>Mul_mg2</x:v>
      </x:c>
      <x:c r="F120" s="17" t="n">
        <x:v>3.431733</x:v>
      </x:c>
    </x:row>
    <x:row r="121">
      <x:c r="A121" t="str">
        <x:v>CarE</x:v>
      </x:c>
      <x:c r="B121" t="str">
        <x:v>TRINITY_DN9322_c0_g2</x:v>
      </x:c>
      <x:c r="C121" t="str">
        <x:v>Mul</x:v>
      </x:c>
      <x:c r="D121" t="n">
        <x:v>3</x:v>
      </x:c>
      <x:c r="E121" t="str">
        <x:v>Mul_mg3</x:v>
      </x:c>
      <x:c r="F121" s="17" t="n">
        <x:v>4.287108</x:v>
      </x:c>
    </x:row>
    <x:row r="122">
      <x:c r="A122" t="str">
        <x:v>GST</x:v>
      </x:c>
      <x:c r="B122" t="str">
        <x:v>TRINITY_DN114_c0_g1</x:v>
      </x:c>
      <x:c r="C122" t="str">
        <x:v>Dan</x:v>
      </x:c>
      <x:c r="D122" t="n">
        <x:v>1</x:v>
      </x:c>
      <x:c r="E122" t="str">
        <x:v>Dan_mg1</x:v>
      </x:c>
      <x:c r="F122" s="17" t="n">
        <x:v>114.21247100000001</x:v>
      </x:c>
    </x:row>
    <x:row r="123">
      <x:c r="A123" t="str">
        <x:v>GST</x:v>
      </x:c>
      <x:c r="B123" t="str">
        <x:v>TRINITY_DN114_c0_g1</x:v>
      </x:c>
      <x:c r="C123" t="str">
        <x:v>Dan</x:v>
      </x:c>
      <x:c r="D123" t="n">
        <x:v>2</x:v>
      </x:c>
      <x:c r="E123" t="str">
        <x:v>Dan_mg2</x:v>
      </x:c>
      <x:c r="F123" s="17" t="n">
        <x:v>112.606572</x:v>
      </x:c>
    </x:row>
    <x:row r="124">
      <x:c r="A124" t="str">
        <x:v>GST</x:v>
      </x:c>
      <x:c r="B124" t="str">
        <x:v>TRINITY_DN114_c0_g1</x:v>
      </x:c>
      <x:c r="C124" t="str">
        <x:v>Dan</x:v>
      </x:c>
      <x:c r="D124" t="n">
        <x:v>3</x:v>
      </x:c>
      <x:c r="E124" t="str">
        <x:v>Dan_mg3</x:v>
      </x:c>
      <x:c r="F124" s="17" t="n">
        <x:v>92.462179</x:v>
      </x:c>
    </x:row>
    <x:row r="125">
      <x:c r="A125" t="str">
        <x:v>GST</x:v>
      </x:c>
      <x:c r="B125" t="str">
        <x:v>TRINITY_DN114_c0_g1</x:v>
      </x:c>
      <x:c r="C125" t="str">
        <x:v>Mul</x:v>
      </x:c>
      <x:c r="D125" t="n">
        <x:v>1</x:v>
      </x:c>
      <x:c r="E125" t="str">
        <x:v>Mul_mg1</x:v>
      </x:c>
      <x:c r="F125" s="17" t="n">
        <x:v>122.290464</x:v>
      </x:c>
    </x:row>
    <x:row r="126">
      <x:c r="A126" t="str">
        <x:v>GST</x:v>
      </x:c>
      <x:c r="B126" t="str">
        <x:v>TRINITY_DN114_c0_g1</x:v>
      </x:c>
      <x:c r="C126" t="str">
        <x:v>Mul</x:v>
      </x:c>
      <x:c r="D126" t="n">
        <x:v>2</x:v>
      </x:c>
      <x:c r="E126" t="str">
        <x:v>Mul_mg2</x:v>
      </x:c>
      <x:c r="F126" s="17" t="n">
        <x:v>89.976414</x:v>
      </x:c>
    </x:row>
    <x:row r="127">
      <x:c r="A127" t="str">
        <x:v>GST</x:v>
      </x:c>
      <x:c r="B127" t="str">
        <x:v>TRINITY_DN114_c0_g1</x:v>
      </x:c>
      <x:c r="C127" t="str">
        <x:v>Mul</x:v>
      </x:c>
      <x:c r="D127" t="n">
        <x:v>3</x:v>
      </x:c>
      <x:c r="E127" t="str">
        <x:v>Mul_mg3</x:v>
      </x:c>
      <x:c r="F127" s="17" t="n">
        <x:v>98.779982</x:v>
      </x:c>
    </x:row>
    <x:row r="128">
      <x:c r="A128" t="str">
        <x:v>GST</x:v>
      </x:c>
      <x:c r="B128" t="str">
        <x:v>TRINITY_DN11666_c0_g1</x:v>
      </x:c>
      <x:c r="C128" t="str">
        <x:v>Dan</x:v>
      </x:c>
      <x:c r="D128" t="n">
        <x:v>1</x:v>
      </x:c>
      <x:c r="E128" t="str">
        <x:v>Dan_mg1</x:v>
      </x:c>
      <x:c r="F128" s="17" t="n">
        <x:v>59.648394</x:v>
      </x:c>
    </x:row>
    <x:row r="129">
      <x:c r="A129" t="str">
        <x:v>GST</x:v>
      </x:c>
      <x:c r="B129" t="str">
        <x:v>TRINITY_DN11666_c0_g1</x:v>
      </x:c>
      <x:c r="C129" t="str">
        <x:v>Dan</x:v>
      </x:c>
      <x:c r="D129" t="n">
        <x:v>2</x:v>
      </x:c>
      <x:c r="E129" t="str">
        <x:v>Dan_mg2</x:v>
      </x:c>
      <x:c r="F129" s="17" t="n">
        <x:v>89.562112</x:v>
      </x:c>
    </x:row>
    <x:row r="130">
      <x:c r="A130" t="str">
        <x:v>GST</x:v>
      </x:c>
      <x:c r="B130" t="str">
        <x:v>TRINITY_DN11666_c0_g1</x:v>
      </x:c>
      <x:c r="C130" t="str">
        <x:v>Dan</x:v>
      </x:c>
      <x:c r="D130" t="n">
        <x:v>3</x:v>
      </x:c>
      <x:c r="E130" t="str">
        <x:v>Dan_mg3</x:v>
      </x:c>
      <x:c r="F130" s="17" t="n">
        <x:v>48.077693</x:v>
      </x:c>
    </x:row>
    <x:row r="131">
      <x:c r="A131" t="str">
        <x:v>GST</x:v>
      </x:c>
      <x:c r="B131" t="str">
        <x:v>TRINITY_DN11666_c0_g1</x:v>
      </x:c>
      <x:c r="C131" t="str">
        <x:v>Mul</x:v>
      </x:c>
      <x:c r="D131" t="n">
        <x:v>1</x:v>
      </x:c>
      <x:c r="E131" t="str">
        <x:v>Mul_mg1</x:v>
      </x:c>
      <x:c r="F131" s="17" t="n">
        <x:v>84.47549199999999</x:v>
      </x:c>
    </x:row>
    <x:row r="132">
      <x:c r="A132" t="str">
        <x:v>GST</x:v>
      </x:c>
      <x:c r="B132" t="str">
        <x:v>TRINITY_DN11666_c0_g1</x:v>
      </x:c>
      <x:c r="C132" t="str">
        <x:v>Mul</x:v>
      </x:c>
      <x:c r="D132" t="n">
        <x:v>2</x:v>
      </x:c>
      <x:c r="E132" t="str">
        <x:v>Mul_mg2</x:v>
      </x:c>
      <x:c r="F132" s="17" t="n">
        <x:v>67.26394499999999</x:v>
      </x:c>
    </x:row>
    <x:row r="133">
      <x:c r="A133" t="str">
        <x:v>GST</x:v>
      </x:c>
      <x:c r="B133" t="str">
        <x:v>TRINITY_DN11666_c0_g1</x:v>
      </x:c>
      <x:c r="C133" t="str">
        <x:v>Mul</x:v>
      </x:c>
      <x:c r="D133" t="n">
        <x:v>3</x:v>
      </x:c>
      <x:c r="E133" t="str">
        <x:v>Mul_mg3</x:v>
      </x:c>
      <x:c r="F133" s="17" t="n">
        <x:v>101.707523</x:v>
      </x:c>
    </x:row>
    <x:row r="134">
      <x:c r="A134" t="str">
        <x:v>GST</x:v>
      </x:c>
      <x:c r="B134" t="str">
        <x:v>TRINITY_DN12434_c0_g2</x:v>
      </x:c>
      <x:c r="C134" t="str">
        <x:v>Dan</x:v>
      </x:c>
      <x:c r="D134" t="n">
        <x:v>1</x:v>
      </x:c>
      <x:c r="E134" t="str">
        <x:v>Dan_mg1</x:v>
      </x:c>
      <x:c r="F134" s="17" t="n">
        <x:v>5.977098</x:v>
      </x:c>
    </x:row>
    <x:row r="135">
      <x:c r="A135" t="str">
        <x:v>GST</x:v>
      </x:c>
      <x:c r="B135" t="str">
        <x:v>TRINITY_DN12434_c0_g2</x:v>
      </x:c>
      <x:c r="C135" t="str">
        <x:v>Dan</x:v>
      </x:c>
      <x:c r="D135" t="n">
        <x:v>2</x:v>
      </x:c>
      <x:c r="E135" t="str">
        <x:v>Dan_mg2</x:v>
      </x:c>
      <x:c r="F135" s="17" t="n">
        <x:v>2.064915</x:v>
      </x:c>
    </x:row>
    <x:row r="136">
      <x:c r="A136" t="str">
        <x:v>GST</x:v>
      </x:c>
      <x:c r="B136" t="str">
        <x:v>TRINITY_DN12434_c0_g2</x:v>
      </x:c>
      <x:c r="C136" t="str">
        <x:v>Dan</x:v>
      </x:c>
      <x:c r="D136" t="n">
        <x:v>3</x:v>
      </x:c>
      <x:c r="E136" t="str">
        <x:v>Dan_mg3</x:v>
      </x:c>
      <x:c r="F136" s="17" t="n">
        <x:v>10.395011</x:v>
      </x:c>
    </x:row>
    <x:row r="137">
      <x:c r="A137" t="str">
        <x:v>GST</x:v>
      </x:c>
      <x:c r="B137" t="str">
        <x:v>TRINITY_DN12434_c0_g2</x:v>
      </x:c>
      <x:c r="C137" t="str">
        <x:v>Mul</x:v>
      </x:c>
      <x:c r="D137" t="n">
        <x:v>1</x:v>
      </x:c>
      <x:c r="E137" t="str">
        <x:v>Mul_mg1</x:v>
      </x:c>
      <x:c r="F137" s="17" t="n">
        <x:v>28.474612</x:v>
      </x:c>
    </x:row>
    <x:row r="138">
      <x:c r="A138" t="str">
        <x:v>GST</x:v>
      </x:c>
      <x:c r="B138" t="str">
        <x:v>TRINITY_DN12434_c0_g2</x:v>
      </x:c>
      <x:c r="C138" t="str">
        <x:v>Mul</x:v>
      </x:c>
      <x:c r="D138" t="n">
        <x:v>2</x:v>
      </x:c>
      <x:c r="E138" t="str">
        <x:v>Mul_mg2</x:v>
      </x:c>
      <x:c r="F138" s="17" t="n">
        <x:v>16.79658</x:v>
      </x:c>
    </x:row>
    <x:row r="139">
      <x:c r="A139" t="str">
        <x:v>GST</x:v>
      </x:c>
      <x:c r="B139" t="str">
        <x:v>TRINITY_DN12434_c0_g2</x:v>
      </x:c>
      <x:c r="C139" t="str">
        <x:v>Mul</x:v>
      </x:c>
      <x:c r="D139" t="n">
        <x:v>3</x:v>
      </x:c>
      <x:c r="E139" t="str">
        <x:v>Mul_mg3</x:v>
      </x:c>
      <x:c r="F139" s="17" t="n">
        <x:v>4.125835</x:v>
      </x:c>
    </x:row>
    <x:row r="140">
      <x:c r="A140" t="str">
        <x:v>GST</x:v>
      </x:c>
      <x:c r="B140" t="str">
        <x:v>TRINITY_DN1310_c0_g1</x:v>
      </x:c>
      <x:c r="C140" t="str">
        <x:v>Dan</x:v>
      </x:c>
      <x:c r="D140" t="n">
        <x:v>1</x:v>
      </x:c>
      <x:c r="E140" t="str">
        <x:v>Dan_mg1</x:v>
      </x:c>
      <x:c r="F140" s="17" t="n">
        <x:v>134.150128</x:v>
      </x:c>
    </x:row>
    <x:row r="141">
      <x:c r="A141" t="str">
        <x:v>GST</x:v>
      </x:c>
      <x:c r="B141" t="str">
        <x:v>TRINITY_DN1310_c0_g1</x:v>
      </x:c>
      <x:c r="C141" t="str">
        <x:v>Dan</x:v>
      </x:c>
      <x:c r="D141" t="n">
        <x:v>2</x:v>
      </x:c>
      <x:c r="E141" t="str">
        <x:v>Dan_mg2</x:v>
      </x:c>
      <x:c r="F141" s="17" t="n">
        <x:v>919.627843</x:v>
      </x:c>
    </x:row>
    <x:row r="142">
      <x:c r="A142" t="str">
        <x:v>GST</x:v>
      </x:c>
      <x:c r="B142" t="str">
        <x:v>TRINITY_DN1310_c0_g1</x:v>
      </x:c>
      <x:c r="C142" t="str">
        <x:v>Dan</x:v>
      </x:c>
      <x:c r="D142" t="n">
        <x:v>3</x:v>
      </x:c>
      <x:c r="E142" t="str">
        <x:v>Dan_mg3</x:v>
      </x:c>
      <x:c r="F142" s="17" t="n">
        <x:v>82.06249199999999</x:v>
      </x:c>
    </x:row>
    <x:row r="143">
      <x:c r="A143" t="str">
        <x:v>GST</x:v>
      </x:c>
      <x:c r="B143" t="str">
        <x:v>TRINITY_DN1310_c0_g1</x:v>
      </x:c>
      <x:c r="C143" t="str">
        <x:v>Mul</x:v>
      </x:c>
      <x:c r="D143" t="n">
        <x:v>1</x:v>
      </x:c>
      <x:c r="E143" t="str">
        <x:v>Mul_mg1</x:v>
      </x:c>
      <x:c r="F143" s="17" t="n">
        <x:v>452.23861</x:v>
      </x:c>
    </x:row>
    <x:row r="144">
      <x:c r="A144" t="str">
        <x:v>GST</x:v>
      </x:c>
      <x:c r="B144" t="str">
        <x:v>TRINITY_DN1310_c0_g1</x:v>
      </x:c>
      <x:c r="C144" t="str">
        <x:v>Mul</x:v>
      </x:c>
      <x:c r="D144" t="n">
        <x:v>2</x:v>
      </x:c>
      <x:c r="E144" t="str">
        <x:v>Mul_mg2</x:v>
      </x:c>
      <x:c r="F144" s="17" t="n">
        <x:v>393.466949</x:v>
      </x:c>
    </x:row>
    <x:row r="145">
      <x:c r="A145" t="str">
        <x:v>GST</x:v>
      </x:c>
      <x:c r="B145" t="str">
        <x:v>TRINITY_DN1310_c0_g1</x:v>
      </x:c>
      <x:c r="C145" t="str">
        <x:v>Mul</x:v>
      </x:c>
      <x:c r="D145" t="n">
        <x:v>3</x:v>
      </x:c>
      <x:c r="E145" t="str">
        <x:v>Mul_mg3</x:v>
      </x:c>
      <x:c r="F145" s="17" t="n">
        <x:v>75.406751</x:v>
      </x:c>
    </x:row>
    <x:row r="146">
      <x:c r="A146" t="str">
        <x:v>GST</x:v>
      </x:c>
      <x:c r="B146" t="str">
        <x:v>TRINITY_DN1343_c0_g1</x:v>
      </x:c>
      <x:c r="C146" t="str">
        <x:v>Dan</x:v>
      </x:c>
      <x:c r="D146" t="n">
        <x:v>1</x:v>
      </x:c>
      <x:c r="E146" t="str">
        <x:v>Dan_mg1</x:v>
      </x:c>
      <x:c r="F146" s="17" t="n">
        <x:v>2.666962</x:v>
      </x:c>
    </x:row>
    <x:row r="147">
      <x:c r="A147" t="str">
        <x:v>GST</x:v>
      </x:c>
      <x:c r="B147" t="str">
        <x:v>TRINITY_DN1343_c0_g1</x:v>
      </x:c>
      <x:c r="C147" t="str">
        <x:v>Dan</x:v>
      </x:c>
      <x:c r="D147" t="n">
        <x:v>2</x:v>
      </x:c>
      <x:c r="E147" t="str">
        <x:v>Dan_mg2</x:v>
      </x:c>
      <x:c r="F147" s="17" t="n">
        <x:v>4.029513</x:v>
      </x:c>
    </x:row>
    <x:row r="148">
      <x:c r="A148" t="str">
        <x:v>GST</x:v>
      </x:c>
      <x:c r="B148" t="str">
        <x:v>TRINITY_DN1343_c0_g1</x:v>
      </x:c>
      <x:c r="C148" t="str">
        <x:v>Dan</x:v>
      </x:c>
      <x:c r="D148" t="n">
        <x:v>3</x:v>
      </x:c>
      <x:c r="E148" t="str">
        <x:v>Dan_mg3</x:v>
      </x:c>
      <x:c r="F148" s="17" t="n">
        <x:v>2.771708</x:v>
      </x:c>
    </x:row>
    <x:row r="149">
      <x:c r="A149" t="str">
        <x:v>GST</x:v>
      </x:c>
      <x:c r="B149" t="str">
        <x:v>TRINITY_DN1343_c0_g1</x:v>
      </x:c>
      <x:c r="C149" t="str">
        <x:v>Mul</x:v>
      </x:c>
      <x:c r="D149" t="n">
        <x:v>1</x:v>
      </x:c>
      <x:c r="E149" t="str">
        <x:v>Mul_mg1</x:v>
      </x:c>
      <x:c r="F149" s="17" t="n">
        <x:v>3.9239059999999997</x:v>
      </x:c>
    </x:row>
    <x:row r="150">
      <x:c r="A150" t="str">
        <x:v>GST</x:v>
      </x:c>
      <x:c r="B150" t="str">
        <x:v>TRINITY_DN1343_c0_g1</x:v>
      </x:c>
      <x:c r="C150" t="str">
        <x:v>Mul</x:v>
      </x:c>
      <x:c r="D150" t="n">
        <x:v>2</x:v>
      </x:c>
      <x:c r="E150" t="str">
        <x:v>Mul_mg2</x:v>
      </x:c>
      <x:c r="F150" s="17" t="n">
        <x:v>3.190048</x:v>
      </x:c>
    </x:row>
    <x:row r="151">
      <x:c r="A151" t="str">
        <x:v>GST</x:v>
      </x:c>
      <x:c r="B151" t="str">
        <x:v>TRINITY_DN1343_c0_g1</x:v>
      </x:c>
      <x:c r="C151" t="str">
        <x:v>Mul</x:v>
      </x:c>
      <x:c r="D151" t="n">
        <x:v>3</x:v>
      </x:c>
      <x:c r="E151" t="str">
        <x:v>Mul_mg3</x:v>
      </x:c>
      <x:c r="F151" s="17" t="n">
        <x:v>2.836938</x:v>
      </x:c>
    </x:row>
    <x:row r="152">
      <x:c r="A152" t="str">
        <x:v>GST</x:v>
      </x:c>
      <x:c r="B152" t="str">
        <x:v>TRINITY_DN13779_c0_g1</x:v>
      </x:c>
      <x:c r="C152" t="str">
        <x:v>Dan</x:v>
      </x:c>
      <x:c r="D152" t="n">
        <x:v>1</x:v>
      </x:c>
      <x:c r="E152" t="str">
        <x:v>Dan_mg1</x:v>
      </x:c>
      <x:c r="F152" s="17" t="n">
        <x:v>57.275219</x:v>
      </x:c>
    </x:row>
    <x:row r="153">
      <x:c r="A153" t="str">
        <x:v>GST</x:v>
      </x:c>
      <x:c r="B153" t="str">
        <x:v>TRINITY_DN13779_c0_g1</x:v>
      </x:c>
      <x:c r="C153" t="str">
        <x:v>Dan</x:v>
      </x:c>
      <x:c r="D153" t="n">
        <x:v>2</x:v>
      </x:c>
      <x:c r="E153" t="str">
        <x:v>Dan_mg2</x:v>
      </x:c>
      <x:c r="F153" s="17" t="n">
        <x:v>85.028175</x:v>
      </x:c>
    </x:row>
    <x:row r="154">
      <x:c r="A154" t="str">
        <x:v>GST</x:v>
      </x:c>
      <x:c r="B154" t="str">
        <x:v>TRINITY_DN13779_c0_g1</x:v>
      </x:c>
      <x:c r="C154" t="str">
        <x:v>Dan</x:v>
      </x:c>
      <x:c r="D154" t="n">
        <x:v>3</x:v>
      </x:c>
      <x:c r="E154" t="str">
        <x:v>Dan_mg3</x:v>
      </x:c>
      <x:c r="F154" s="17" t="n">
        <x:v>25.285469</x:v>
      </x:c>
    </x:row>
    <x:row r="155">
      <x:c r="A155" t="str">
        <x:v>GST</x:v>
      </x:c>
      <x:c r="B155" t="str">
        <x:v>TRINITY_DN13779_c0_g1</x:v>
      </x:c>
      <x:c r="C155" t="str">
        <x:v>Mul</x:v>
      </x:c>
      <x:c r="D155" t="n">
        <x:v>1</x:v>
      </x:c>
      <x:c r="E155" t="str">
        <x:v>Mul_mg1</x:v>
      </x:c>
      <x:c r="F155" s="17" t="n">
        <x:v>76.546104</x:v>
      </x:c>
    </x:row>
    <x:row r="156">
      <x:c r="A156" t="str">
        <x:v>GST</x:v>
      </x:c>
      <x:c r="B156" t="str">
        <x:v>TRINITY_DN13779_c0_g1</x:v>
      </x:c>
      <x:c r="C156" t="str">
        <x:v>Mul</x:v>
      </x:c>
      <x:c r="D156" t="n">
        <x:v>2</x:v>
      </x:c>
      <x:c r="E156" t="str">
        <x:v>Mul_mg2</x:v>
      </x:c>
      <x:c r="F156" s="17" t="n">
        <x:v>95.628602</x:v>
      </x:c>
    </x:row>
    <x:row r="157">
      <x:c r="A157" t="str">
        <x:v>GST</x:v>
      </x:c>
      <x:c r="B157" t="str">
        <x:v>TRINITY_DN13779_c0_g1</x:v>
      </x:c>
      <x:c r="C157" t="str">
        <x:v>Mul</x:v>
      </x:c>
      <x:c r="D157" t="n">
        <x:v>3</x:v>
      </x:c>
      <x:c r="E157" t="str">
        <x:v>Mul_mg3</x:v>
      </x:c>
      <x:c r="F157" s="17" t="n">
        <x:v>69.264709</x:v>
      </x:c>
    </x:row>
    <x:row r="158">
      <x:c r="A158" t="str">
        <x:v>GST</x:v>
      </x:c>
      <x:c r="B158" t="str">
        <x:v>TRINITY_DN1407_c0_g1</x:v>
      </x:c>
      <x:c r="C158" t="str">
        <x:v>Dan</x:v>
      </x:c>
      <x:c r="D158" t="n">
        <x:v>1</x:v>
      </x:c>
      <x:c r="E158" t="str">
        <x:v>Dan_mg1</x:v>
      </x:c>
      <x:c r="F158" s="17" t="n">
        <x:v>4.171001</x:v>
      </x:c>
    </x:row>
    <x:row r="159">
      <x:c r="A159" t="str">
        <x:v>GST</x:v>
      </x:c>
      <x:c r="B159" t="str">
        <x:v>TRINITY_DN1407_c0_g1</x:v>
      </x:c>
      <x:c r="C159" t="str">
        <x:v>Dan</x:v>
      </x:c>
      <x:c r="D159" t="n">
        <x:v>2</x:v>
      </x:c>
      <x:c r="E159" t="str">
        <x:v>Dan_mg2</x:v>
      </x:c>
      <x:c r="F159" s="17" t="n">
        <x:v>236.423008</x:v>
      </x:c>
    </x:row>
    <x:row r="160">
      <x:c r="A160" t="str">
        <x:v>GST</x:v>
      </x:c>
      <x:c r="B160" t="str">
        <x:v>TRINITY_DN1407_c0_g1</x:v>
      </x:c>
      <x:c r="C160" t="str">
        <x:v>Dan</x:v>
      </x:c>
      <x:c r="D160" t="n">
        <x:v>3</x:v>
      </x:c>
      <x:c r="E160" t="str">
        <x:v>Dan_mg3</x:v>
      </x:c>
      <x:c r="F160" s="17" t="n">
        <x:v>42.383383</x:v>
      </x:c>
    </x:row>
    <x:row r="161">
      <x:c r="A161" t="str">
        <x:v>GST</x:v>
      </x:c>
      <x:c r="B161" t="str">
        <x:v>TRINITY_DN1407_c0_g1</x:v>
      </x:c>
      <x:c r="C161" t="str">
        <x:v>Mul</x:v>
      </x:c>
      <x:c r="D161" t="n">
        <x:v>1</x:v>
      </x:c>
      <x:c r="E161" t="str">
        <x:v>Mul_mg1</x:v>
      </x:c>
      <x:c r="F161" s="17" t="n">
        <x:v>302.843043</x:v>
      </x:c>
    </x:row>
    <x:row r="162">
      <x:c r="A162" t="str">
        <x:v>GST</x:v>
      </x:c>
      <x:c r="B162" t="str">
        <x:v>TRINITY_DN1407_c0_g1</x:v>
      </x:c>
      <x:c r="C162" t="str">
        <x:v>Mul</x:v>
      </x:c>
      <x:c r="D162" t="n">
        <x:v>2</x:v>
      </x:c>
      <x:c r="E162" t="str">
        <x:v>Mul_mg2</x:v>
      </x:c>
      <x:c r="F162" s="17" t="n">
        <x:v>170.720751</x:v>
      </x:c>
    </x:row>
    <x:row r="163">
      <x:c r="A163" t="str">
        <x:v>GST</x:v>
      </x:c>
      <x:c r="B163" t="str">
        <x:v>TRINITY_DN1407_c0_g1</x:v>
      </x:c>
      <x:c r="C163" t="str">
        <x:v>Mul</x:v>
      </x:c>
      <x:c r="D163" t="n">
        <x:v>3</x:v>
      </x:c>
      <x:c r="E163" t="str">
        <x:v>Mul_mg3</x:v>
      </x:c>
      <x:c r="F163" s="17" t="n">
        <x:v>34.364763</x:v>
      </x:c>
    </x:row>
    <x:row r="164">
      <x:c r="A164" t="str">
        <x:v>GST</x:v>
      </x:c>
      <x:c r="B164" t="str">
        <x:v>TRINITY_DN1430_c2_g2</x:v>
      </x:c>
      <x:c r="C164" t="str">
        <x:v>Dan</x:v>
      </x:c>
      <x:c r="D164" t="n">
        <x:v>1</x:v>
      </x:c>
      <x:c r="E164" t="str">
        <x:v>Dan_mg1</x:v>
      </x:c>
      <x:c r="F164" s="17" t="n">
        <x:v>75.483824</x:v>
      </x:c>
    </x:row>
    <x:row r="165">
      <x:c r="A165" t="str">
        <x:v>GST</x:v>
      </x:c>
      <x:c r="B165" t="str">
        <x:v>TRINITY_DN1430_c2_g2</x:v>
      </x:c>
      <x:c r="C165" t="str">
        <x:v>Dan</x:v>
      </x:c>
      <x:c r="D165" t="n">
        <x:v>2</x:v>
      </x:c>
      <x:c r="E165" t="str">
        <x:v>Dan_mg2</x:v>
      </x:c>
      <x:c r="F165" s="17" t="n">
        <x:v>96.2216</x:v>
      </x:c>
    </x:row>
    <x:row r="166">
      <x:c r="A166" t="str">
        <x:v>GST</x:v>
      </x:c>
      <x:c r="B166" t="str">
        <x:v>TRINITY_DN1430_c2_g2</x:v>
      </x:c>
      <x:c r="C166" t="str">
        <x:v>Dan</x:v>
      </x:c>
      <x:c r="D166" t="n">
        <x:v>3</x:v>
      </x:c>
      <x:c r="E166" t="str">
        <x:v>Dan_mg3</x:v>
      </x:c>
      <x:c r="F166" s="17" t="n">
        <x:v>65.533336</x:v>
      </x:c>
    </x:row>
    <x:row r="167">
      <x:c r="A167" t="str">
        <x:v>GST</x:v>
      </x:c>
      <x:c r="B167" t="str">
        <x:v>TRINITY_DN1430_c2_g2</x:v>
      </x:c>
      <x:c r="C167" t="str">
        <x:v>Mul</x:v>
      </x:c>
      <x:c r="D167" t="n">
        <x:v>1</x:v>
      </x:c>
      <x:c r="E167" t="str">
        <x:v>Mul_mg1</x:v>
      </x:c>
      <x:c r="F167" s="17" t="n">
        <x:v>121.314948</x:v>
      </x:c>
    </x:row>
    <x:row r="168">
      <x:c r="A168" t="str">
        <x:v>GST</x:v>
      </x:c>
      <x:c r="B168" t="str">
        <x:v>TRINITY_DN1430_c2_g2</x:v>
      </x:c>
      <x:c r="C168" t="str">
        <x:v>Mul</x:v>
      </x:c>
      <x:c r="D168" t="n">
        <x:v>2</x:v>
      </x:c>
      <x:c r="E168" t="str">
        <x:v>Mul_mg2</x:v>
      </x:c>
      <x:c r="F168" s="17" t="n">
        <x:v>110.519987</x:v>
      </x:c>
    </x:row>
    <x:row r="169">
      <x:c r="A169" t="str">
        <x:v>GST</x:v>
      </x:c>
      <x:c r="B169" t="str">
        <x:v>TRINITY_DN1430_c2_g2</x:v>
      </x:c>
      <x:c r="C169" t="str">
        <x:v>Mul</x:v>
      </x:c>
      <x:c r="D169" t="n">
        <x:v>3</x:v>
      </x:c>
      <x:c r="E169" t="str">
        <x:v>Mul_mg3</x:v>
      </x:c>
      <x:c r="F169" s="17" t="n">
        <x:v>110.809122</x:v>
      </x:c>
    </x:row>
    <x:row r="170">
      <x:c r="A170" t="str">
        <x:v>GST</x:v>
      </x:c>
      <x:c r="B170" t="str">
        <x:v>TRINITY_DN163_c3_g1</x:v>
      </x:c>
      <x:c r="C170" t="str">
        <x:v>Dan</x:v>
      </x:c>
      <x:c r="D170" t="n">
        <x:v>1</x:v>
      </x:c>
      <x:c r="E170" t="str">
        <x:v>Dan_mg1</x:v>
      </x:c>
      <x:c r="F170" s="17" t="n">
        <x:v>1.267673</x:v>
      </x:c>
    </x:row>
    <x:row r="171">
      <x:c r="A171" t="str">
        <x:v>GST</x:v>
      </x:c>
      <x:c r="B171" t="str">
        <x:v>TRINITY_DN163_c3_g1</x:v>
      </x:c>
      <x:c r="C171" t="str">
        <x:v>Dan</x:v>
      </x:c>
      <x:c r="D171" t="n">
        <x:v>2</x:v>
      </x:c>
      <x:c r="E171" t="str">
        <x:v>Dan_mg2</x:v>
      </x:c>
      <x:c r="F171" s="17" t="n">
        <x:v>3.911892</x:v>
      </x:c>
    </x:row>
    <x:row r="172">
      <x:c r="A172" t="str">
        <x:v>GST</x:v>
      </x:c>
      <x:c r="B172" t="str">
        <x:v>TRINITY_DN163_c3_g1</x:v>
      </x:c>
      <x:c r="C172" t="str">
        <x:v>Dan</x:v>
      </x:c>
      <x:c r="D172" t="n">
        <x:v>3</x:v>
      </x:c>
      <x:c r="E172" t="str">
        <x:v>Dan_mg3</x:v>
      </x:c>
      <x:c r="F172" s="17" t="n">
        <x:v>0.263767</x:v>
      </x:c>
    </x:row>
    <x:row r="173">
      <x:c r="A173" t="str">
        <x:v>GST</x:v>
      </x:c>
      <x:c r="B173" t="str">
        <x:v>TRINITY_DN163_c3_g1</x:v>
      </x:c>
      <x:c r="C173" t="str">
        <x:v>Mul</x:v>
      </x:c>
      <x:c r="D173" t="n">
        <x:v>1</x:v>
      </x:c>
      <x:c r="E173" t="str">
        <x:v>Mul_mg1</x:v>
      </x:c>
      <x:c r="F173" s="17" t="n">
        <x:v>3.886035</x:v>
      </x:c>
    </x:row>
    <x:row r="174">
      <x:c r="A174" t="str">
        <x:v>GST</x:v>
      </x:c>
      <x:c r="B174" t="str">
        <x:v>TRINITY_DN163_c3_g1</x:v>
      </x:c>
      <x:c r="C174" t="str">
        <x:v>Mul</x:v>
      </x:c>
      <x:c r="D174" t="n">
        <x:v>2</x:v>
      </x:c>
      <x:c r="E174" t="str">
        <x:v>Mul_mg2</x:v>
      </x:c>
      <x:c r="F174" s="17" t="n">
        <x:v>3.155135</x:v>
      </x:c>
    </x:row>
    <x:row r="175">
      <x:c r="A175" t="str">
        <x:v>GST</x:v>
      </x:c>
      <x:c r="B175" t="str">
        <x:v>TRINITY_DN163_c3_g1</x:v>
      </x:c>
      <x:c r="C175" t="str">
        <x:v>Mul</x:v>
      </x:c>
      <x:c r="D175" t="n">
        <x:v>3</x:v>
      </x:c>
      <x:c r="E175" t="str">
        <x:v>Mul_mg3</x:v>
      </x:c>
      <x:c r="F175" s="17" t="n">
        <x:v>3.318809</x:v>
      </x:c>
    </x:row>
    <x:row r="176">
      <x:c r="A176" t="str">
        <x:v>GST</x:v>
      </x:c>
      <x:c r="B176" t="str">
        <x:v>TRINITY_DN1682_c0_g2</x:v>
      </x:c>
      <x:c r="C176" t="str">
        <x:v>Dan</x:v>
      </x:c>
      <x:c r="D176" t="n">
        <x:v>1</x:v>
      </x:c>
      <x:c r="E176" t="str">
        <x:v>Dan_mg1</x:v>
      </x:c>
      <x:c r="F176" s="17" t="n">
        <x:v>34.596573</x:v>
      </x:c>
    </x:row>
    <x:row r="177">
      <x:c r="A177" t="str">
        <x:v>GST</x:v>
      </x:c>
      <x:c r="B177" t="str">
        <x:v>TRINITY_DN1682_c0_g2</x:v>
      </x:c>
      <x:c r="C177" t="str">
        <x:v>Dan</x:v>
      </x:c>
      <x:c r="D177" t="n">
        <x:v>2</x:v>
      </x:c>
      <x:c r="E177" t="str">
        <x:v>Dan_mg2</x:v>
      </x:c>
      <x:c r="F177" s="17" t="n">
        <x:v>52.163227000000006</x:v>
      </x:c>
    </x:row>
    <x:row r="178">
      <x:c r="A178" t="str">
        <x:v>GST</x:v>
      </x:c>
      <x:c r="B178" t="str">
        <x:v>TRINITY_DN1682_c0_g2</x:v>
      </x:c>
      <x:c r="C178" t="str">
        <x:v>Dan</x:v>
      </x:c>
      <x:c r="D178" t="n">
        <x:v>3</x:v>
      </x:c>
      <x:c r="E178" t="str">
        <x:v>Dan_mg3</x:v>
      </x:c>
      <x:c r="F178" s="17" t="n">
        <x:v>4.623584</x:v>
      </x:c>
    </x:row>
    <x:row r="179">
      <x:c r="A179" t="str">
        <x:v>GST</x:v>
      </x:c>
      <x:c r="B179" t="str">
        <x:v>TRINITY_DN1682_c0_g2</x:v>
      </x:c>
      <x:c r="C179" t="str">
        <x:v>Mul</x:v>
      </x:c>
      <x:c r="D179" t="n">
        <x:v>1</x:v>
      </x:c>
      <x:c r="E179" t="str">
        <x:v>Mul_mg1</x:v>
      </x:c>
      <x:c r="F179" s="17" t="n">
        <x:v>32.359995</x:v>
      </x:c>
    </x:row>
    <x:row r="180">
      <x:c r="A180" t="str">
        <x:v>GST</x:v>
      </x:c>
      <x:c r="B180" t="str">
        <x:v>TRINITY_DN1682_c0_g2</x:v>
      </x:c>
      <x:c r="C180" t="str">
        <x:v>Mul</x:v>
      </x:c>
      <x:c r="D180" t="n">
        <x:v>2</x:v>
      </x:c>
      <x:c r="E180" t="str">
        <x:v>Mul_mg2</x:v>
      </x:c>
      <x:c r="F180" s="17" t="n">
        <x:v>39.067121</x:v>
      </x:c>
    </x:row>
    <x:row r="181">
      <x:c r="A181" t="str">
        <x:v>GST</x:v>
      </x:c>
      <x:c r="B181" t="str">
        <x:v>TRINITY_DN1682_c0_g2</x:v>
      </x:c>
      <x:c r="C181" t="str">
        <x:v>Mul</x:v>
      </x:c>
      <x:c r="D181" t="n">
        <x:v>3</x:v>
      </x:c>
      <x:c r="E181" t="str">
        <x:v>Mul_mg3</x:v>
      </x:c>
      <x:c r="F181" s="17" t="n">
        <x:v>20.001053</x:v>
      </x:c>
    </x:row>
    <x:row r="182">
      <x:c r="A182" t="str">
        <x:v>GST</x:v>
      </x:c>
      <x:c r="B182" t="str">
        <x:v>TRINITY_DN18158_c2_g1</x:v>
      </x:c>
      <x:c r="C182" t="str">
        <x:v>Dan</x:v>
      </x:c>
      <x:c r="D182" t="n">
        <x:v>1</x:v>
      </x:c>
      <x:c r="E182" t="str">
        <x:v>Dan_mg1</x:v>
      </x:c>
      <x:c r="F182" s="17" t="n">
        <x:v>0</x:v>
      </x:c>
    </x:row>
    <x:row r="183">
      <x:c r="A183" t="str">
        <x:v>GST</x:v>
      </x:c>
      <x:c r="B183" t="str">
        <x:v>TRINITY_DN18158_c2_g1</x:v>
      </x:c>
      <x:c r="C183" t="str">
        <x:v>Dan</x:v>
      </x:c>
      <x:c r="D183" t="n">
        <x:v>2</x:v>
      </x:c>
      <x:c r="E183" t="str">
        <x:v>Dan_mg2</x:v>
      </x:c>
      <x:c r="F183" s="17" t="n">
        <x:v>0.834769</x:v>
      </x:c>
    </x:row>
    <x:row r="184">
      <x:c r="A184" t="str">
        <x:v>GST</x:v>
      </x:c>
      <x:c r="B184" t="str">
        <x:v>TRINITY_DN18158_c2_g1</x:v>
      </x:c>
      <x:c r="C184" t="str">
        <x:v>Dan</x:v>
      </x:c>
      <x:c r="D184" t="n">
        <x:v>3</x:v>
      </x:c>
      <x:c r="E184" t="str">
        <x:v>Dan_mg3</x:v>
      </x:c>
      <x:c r="F184" s="17" t="n">
        <x:v>0.279039</x:v>
      </x:c>
    </x:row>
    <x:row r="185">
      <x:c r="A185" t="str">
        <x:v>GST</x:v>
      </x:c>
      <x:c r="B185" t="str">
        <x:v>TRINITY_DN18158_c2_g1</x:v>
      </x:c>
      <x:c r="C185" t="str">
        <x:v>Mul</x:v>
      </x:c>
      <x:c r="D185" t="n">
        <x:v>1</x:v>
      </x:c>
      <x:c r="E185" t="str">
        <x:v>Mul_mg1</x:v>
      </x:c>
      <x:c r="F185" s="17" t="n">
        <x:v>0.092438</x:v>
      </x:c>
    </x:row>
    <x:row r="186">
      <x:c r="A186" t="str">
        <x:v>GST</x:v>
      </x:c>
      <x:c r="B186" t="str">
        <x:v>TRINITY_DN18158_c2_g1</x:v>
      </x:c>
      <x:c r="C186" t="str">
        <x:v>Mul</x:v>
      </x:c>
      <x:c r="D186" t="n">
        <x:v>2</x:v>
      </x:c>
      <x:c r="E186" t="str">
        <x:v>Mul_mg2</x:v>
      </x:c>
      <x:c r="F186" s="17" t="n">
        <x:v>0.697079</x:v>
      </x:c>
    </x:row>
    <x:row r="187">
      <x:c r="A187" t="str">
        <x:v>GST</x:v>
      </x:c>
      <x:c r="B187" t="str">
        <x:v>TRINITY_DN18158_c2_g1</x:v>
      </x:c>
      <x:c r="C187" t="str">
        <x:v>Mul</x:v>
      </x:c>
      <x:c r="D187" t="n">
        <x:v>3</x:v>
      </x:c>
      <x:c r="E187" t="str">
        <x:v>Mul_mg3</x:v>
      </x:c>
      <x:c r="F187" s="17" t="n">
        <x:v>0</x:v>
      </x:c>
    </x:row>
    <x:row r="188">
      <x:c r="A188" t="str">
        <x:v>GST</x:v>
      </x:c>
      <x:c r="B188" t="str">
        <x:v>TRINITY_DN18158_c2_g2</x:v>
      </x:c>
      <x:c r="C188" t="str">
        <x:v>Dan</x:v>
      </x:c>
      <x:c r="D188" t="n">
        <x:v>1</x:v>
      </x:c>
      <x:c r="E188" t="str">
        <x:v>Dan_mg1</x:v>
      </x:c>
      <x:c r="F188" s="17" t="n">
        <x:v>0</x:v>
      </x:c>
    </x:row>
    <x:row r="189">
      <x:c r="A189" t="str">
        <x:v>GST</x:v>
      </x:c>
      <x:c r="B189" t="str">
        <x:v>TRINITY_DN18158_c2_g2</x:v>
      </x:c>
      <x:c r="C189" t="str">
        <x:v>Dan</x:v>
      </x:c>
      <x:c r="D189" t="n">
        <x:v>2</x:v>
      </x:c>
      <x:c r="E189" t="str">
        <x:v>Dan_mg2</x:v>
      </x:c>
      <x:c r="F189" s="17" t="n">
        <x:v>0</x:v>
      </x:c>
    </x:row>
    <x:row r="190">
      <x:c r="A190" t="str">
        <x:v>GST</x:v>
      </x:c>
      <x:c r="B190" t="str">
        <x:v>TRINITY_DN18158_c2_g2</x:v>
      </x:c>
      <x:c r="C190" t="str">
        <x:v>Dan</x:v>
      </x:c>
      <x:c r="D190" t="n">
        <x:v>3</x:v>
      </x:c>
      <x:c r="E190" t="str">
        <x:v>Dan_mg3</x:v>
      </x:c>
      <x:c r="F190" s="17" t="n">
        <x:v>0.01378</x:v>
      </x:c>
    </x:row>
    <x:row r="191">
      <x:c r="A191" t="str">
        <x:v>GST</x:v>
      </x:c>
      <x:c r="B191" t="str">
        <x:v>TRINITY_DN18158_c2_g2</x:v>
      </x:c>
      <x:c r="C191" t="str">
        <x:v>Mul</x:v>
      </x:c>
      <x:c r="D191" t="n">
        <x:v>1</x:v>
      </x:c>
      <x:c r="E191" t="str">
        <x:v>Mul_mg1</x:v>
      </x:c>
      <x:c r="F191" s="17" t="n">
        <x:v>0.483617</x:v>
      </x:c>
    </x:row>
    <x:row r="192">
      <x:c r="A192" t="str">
        <x:v>GST</x:v>
      </x:c>
      <x:c r="B192" t="str">
        <x:v>TRINITY_DN18158_c2_g2</x:v>
      </x:c>
      <x:c r="C192" t="str">
        <x:v>Mul</x:v>
      </x:c>
      <x:c r="D192" t="n">
        <x:v>2</x:v>
      </x:c>
      <x:c r="E192" t="str">
        <x:v>Mul_mg2</x:v>
      </x:c>
      <x:c r="F192" s="17" t="n">
        <x:v>3.760447</x:v>
      </x:c>
    </x:row>
    <x:row r="193">
      <x:c r="A193" t="str">
        <x:v>GST</x:v>
      </x:c>
      <x:c r="B193" t="str">
        <x:v>TRINITY_DN18158_c2_g2</x:v>
      </x:c>
      <x:c r="C193" t="str">
        <x:v>Mul</x:v>
      </x:c>
      <x:c r="D193" t="n">
        <x:v>3</x:v>
      </x:c>
      <x:c r="E193" t="str">
        <x:v>Mul_mg3</x:v>
      </x:c>
      <x:c r="F193" s="17" t="n">
        <x:v>0.048699</x:v>
      </x:c>
    </x:row>
    <x:row r="194">
      <x:c r="A194" t="str">
        <x:v>GST</x:v>
      </x:c>
      <x:c r="B194" t="str">
        <x:v>TRINITY_DN1824_c0_g1</x:v>
      </x:c>
      <x:c r="C194" t="str">
        <x:v>Dan</x:v>
      </x:c>
      <x:c r="D194" t="n">
        <x:v>1</x:v>
      </x:c>
      <x:c r="E194" t="str">
        <x:v>Dan_mg1</x:v>
      </x:c>
      <x:c r="F194" s="17" t="n">
        <x:v>6.71759</x:v>
      </x:c>
    </x:row>
    <x:row r="195">
      <x:c r="A195" t="str">
        <x:v>GST</x:v>
      </x:c>
      <x:c r="B195" t="str">
        <x:v>TRINITY_DN1824_c0_g1</x:v>
      </x:c>
      <x:c r="C195" t="str">
        <x:v>Dan</x:v>
      </x:c>
      <x:c r="D195" t="n">
        <x:v>2</x:v>
      </x:c>
      <x:c r="E195" t="str">
        <x:v>Dan_mg2</x:v>
      </x:c>
      <x:c r="F195" s="17" t="n">
        <x:v>7.577001</x:v>
      </x:c>
    </x:row>
    <x:row r="196">
      <x:c r="A196" t="str">
        <x:v>GST</x:v>
      </x:c>
      <x:c r="B196" t="str">
        <x:v>TRINITY_DN1824_c0_g1</x:v>
      </x:c>
      <x:c r="C196" t="str">
        <x:v>Dan</x:v>
      </x:c>
      <x:c r="D196" t="n">
        <x:v>3</x:v>
      </x:c>
      <x:c r="E196" t="str">
        <x:v>Dan_mg3</x:v>
      </x:c>
      <x:c r="F196" s="17" t="n">
        <x:v>5.120009</x:v>
      </x:c>
    </x:row>
    <x:row r="197">
      <x:c r="A197" t="str">
        <x:v>GST</x:v>
      </x:c>
      <x:c r="B197" t="str">
        <x:v>TRINITY_DN1824_c0_g1</x:v>
      </x:c>
      <x:c r="C197" t="str">
        <x:v>Mul</x:v>
      </x:c>
      <x:c r="D197" t="n">
        <x:v>1</x:v>
      </x:c>
      <x:c r="E197" t="str">
        <x:v>Mul_mg1</x:v>
      </x:c>
      <x:c r="F197" s="17" t="n">
        <x:v>3.943155</x:v>
      </x:c>
    </x:row>
    <x:row r="198">
      <x:c r="A198" t="str">
        <x:v>GST</x:v>
      </x:c>
      <x:c r="B198" t="str">
        <x:v>TRINITY_DN1824_c0_g1</x:v>
      </x:c>
      <x:c r="C198" t="str">
        <x:v>Mul</x:v>
      </x:c>
      <x:c r="D198" t="n">
        <x:v>2</x:v>
      </x:c>
      <x:c r="E198" t="str">
        <x:v>Mul_mg2</x:v>
      </x:c>
      <x:c r="F198" s="17" t="n">
        <x:v>3.10422</x:v>
      </x:c>
    </x:row>
    <x:row r="199">
      <x:c r="A199" t="str">
        <x:v>GST</x:v>
      </x:c>
      <x:c r="B199" t="str">
        <x:v>TRINITY_DN1824_c0_g1</x:v>
      </x:c>
      <x:c r="C199" t="str">
        <x:v>Mul</x:v>
      </x:c>
      <x:c r="D199" t="n">
        <x:v>3</x:v>
      </x:c>
      <x:c r="E199" t="str">
        <x:v>Mul_mg3</x:v>
      </x:c>
      <x:c r="F199" s="17" t="n">
        <x:v>5.958991</x:v>
      </x:c>
    </x:row>
    <x:row r="200">
      <x:c r="A200" t="str">
        <x:v>GST</x:v>
      </x:c>
      <x:c r="B200" t="str">
        <x:v>TRINITY_DN196_c0_g1</x:v>
      </x:c>
      <x:c r="C200" t="str">
        <x:v>Dan</x:v>
      </x:c>
      <x:c r="D200" t="n">
        <x:v>1</x:v>
      </x:c>
      <x:c r="E200" t="str">
        <x:v>Dan_mg1</x:v>
      </x:c>
      <x:c r="F200" s="17" t="n">
        <x:v>20.937583</x:v>
      </x:c>
    </x:row>
    <x:row r="201">
      <x:c r="A201" t="str">
        <x:v>GST</x:v>
      </x:c>
      <x:c r="B201" t="str">
        <x:v>TRINITY_DN196_c0_g1</x:v>
      </x:c>
      <x:c r="C201" t="str">
        <x:v>Dan</x:v>
      </x:c>
      <x:c r="D201" t="n">
        <x:v>2</x:v>
      </x:c>
      <x:c r="E201" t="str">
        <x:v>Dan_mg2</x:v>
      </x:c>
      <x:c r="F201" s="17" t="n">
        <x:v>75.340624</x:v>
      </x:c>
    </x:row>
    <x:row r="202">
      <x:c r="A202" t="str">
        <x:v>GST</x:v>
      </x:c>
      <x:c r="B202" t="str">
        <x:v>TRINITY_DN196_c0_g1</x:v>
      </x:c>
      <x:c r="C202" t="str">
        <x:v>Dan</x:v>
      </x:c>
      <x:c r="D202" t="n">
        <x:v>3</x:v>
      </x:c>
      <x:c r="E202" t="str">
        <x:v>Dan_mg3</x:v>
      </x:c>
      <x:c r="F202" s="17" t="n">
        <x:v>13.497852</x:v>
      </x:c>
    </x:row>
    <x:row r="203">
      <x:c r="A203" t="str">
        <x:v>GST</x:v>
      </x:c>
      <x:c r="B203" t="str">
        <x:v>TRINITY_DN196_c0_g1</x:v>
      </x:c>
      <x:c r="C203" t="str">
        <x:v>Mul</x:v>
      </x:c>
      <x:c r="D203" t="n">
        <x:v>1</x:v>
      </x:c>
      <x:c r="E203" t="str">
        <x:v>Mul_mg1</x:v>
      </x:c>
      <x:c r="F203" s="17" t="n">
        <x:v>29.757789</x:v>
      </x:c>
    </x:row>
    <x:row r="204">
      <x:c r="A204" t="str">
        <x:v>GST</x:v>
      </x:c>
      <x:c r="B204" t="str">
        <x:v>TRINITY_DN196_c0_g1</x:v>
      </x:c>
      <x:c r="C204" t="str">
        <x:v>Mul</x:v>
      </x:c>
      <x:c r="D204" t="n">
        <x:v>2</x:v>
      </x:c>
      <x:c r="E204" t="str">
        <x:v>Mul_mg2</x:v>
      </x:c>
      <x:c r="F204" s="17" t="n">
        <x:v>30.634876</x:v>
      </x:c>
    </x:row>
    <x:row r="205">
      <x:c r="A205" t="str">
        <x:v>GST</x:v>
      </x:c>
      <x:c r="B205" t="str">
        <x:v>TRINITY_DN196_c0_g1</x:v>
      </x:c>
      <x:c r="C205" t="str">
        <x:v>Mul</x:v>
      </x:c>
      <x:c r="D205" t="n">
        <x:v>3</x:v>
      </x:c>
      <x:c r="E205" t="str">
        <x:v>Mul_mg3</x:v>
      </x:c>
      <x:c r="F205" s="17" t="n">
        <x:v>35.825061</x:v>
      </x:c>
    </x:row>
    <x:row r="206">
      <x:c r="A206" t="str">
        <x:v>GST</x:v>
      </x:c>
      <x:c r="B206" t="str">
        <x:v>TRINITY_DN196_c1_g2</x:v>
      </x:c>
      <x:c r="C206" t="str">
        <x:v>Dan</x:v>
      </x:c>
      <x:c r="D206" t="n">
        <x:v>1</x:v>
      </x:c>
      <x:c r="E206" t="str">
        <x:v>Dan_mg1</x:v>
      </x:c>
      <x:c r="F206" s="17" t="n">
        <x:v>33.620211999999995</x:v>
      </x:c>
    </x:row>
    <x:row r="207">
      <x:c r="A207" t="str">
        <x:v>GST</x:v>
      </x:c>
      <x:c r="B207" t="str">
        <x:v>TRINITY_DN196_c1_g2</x:v>
      </x:c>
      <x:c r="C207" t="str">
        <x:v>Dan</x:v>
      </x:c>
      <x:c r="D207" t="n">
        <x:v>2</x:v>
      </x:c>
      <x:c r="E207" t="str">
        <x:v>Dan_mg2</x:v>
      </x:c>
      <x:c r="F207" s="17" t="n">
        <x:v>54.670605</x:v>
      </x:c>
    </x:row>
    <x:row r="208">
      <x:c r="A208" t="str">
        <x:v>GST</x:v>
      </x:c>
      <x:c r="B208" t="str">
        <x:v>TRINITY_DN196_c1_g2</x:v>
      </x:c>
      <x:c r="C208" t="str">
        <x:v>Dan</x:v>
      </x:c>
      <x:c r="D208" t="n">
        <x:v>3</x:v>
      </x:c>
      <x:c r="E208" t="str">
        <x:v>Dan_mg3</x:v>
      </x:c>
      <x:c r="F208" s="17" t="n">
        <x:v>31.227857999999998</x:v>
      </x:c>
    </x:row>
    <x:row r="209">
      <x:c r="A209" t="str">
        <x:v>GST</x:v>
      </x:c>
      <x:c r="B209" t="str">
        <x:v>TRINITY_DN196_c1_g2</x:v>
      </x:c>
      <x:c r="C209" t="str">
        <x:v>Mul</x:v>
      </x:c>
      <x:c r="D209" t="n">
        <x:v>1</x:v>
      </x:c>
      <x:c r="E209" t="str">
        <x:v>Mul_mg1</x:v>
      </x:c>
      <x:c r="F209" s="17" t="n">
        <x:v>36.779561</x:v>
      </x:c>
    </x:row>
    <x:row r="210">
      <x:c r="A210" t="str">
        <x:v>GST</x:v>
      </x:c>
      <x:c r="B210" t="str">
        <x:v>TRINITY_DN196_c1_g2</x:v>
      </x:c>
      <x:c r="C210" t="str">
        <x:v>Mul</x:v>
      </x:c>
      <x:c r="D210" t="n">
        <x:v>2</x:v>
      </x:c>
      <x:c r="E210" t="str">
        <x:v>Mul_mg2</x:v>
      </x:c>
      <x:c r="F210" s="17" t="n">
        <x:v>30.862761</x:v>
      </x:c>
    </x:row>
    <x:row r="211">
      <x:c r="A211" t="str">
        <x:v>GST</x:v>
      </x:c>
      <x:c r="B211" t="str">
        <x:v>TRINITY_DN196_c1_g2</x:v>
      </x:c>
      <x:c r="C211" t="str">
        <x:v>Mul</x:v>
      </x:c>
      <x:c r="D211" t="n">
        <x:v>3</x:v>
      </x:c>
      <x:c r="E211" t="str">
        <x:v>Mul_mg3</x:v>
      </x:c>
      <x:c r="F211" s="17" t="n">
        <x:v>27.502089</x:v>
      </x:c>
    </x:row>
    <x:row r="212">
      <x:c r="A212" t="str">
        <x:v>GST</x:v>
      </x:c>
      <x:c r="B212" t="str">
        <x:v>TRINITY_DN196_c6_g1</x:v>
      </x:c>
      <x:c r="C212" t="str">
        <x:v>Dan</x:v>
      </x:c>
      <x:c r="D212" t="n">
        <x:v>1</x:v>
      </x:c>
      <x:c r="E212" t="str">
        <x:v>Dan_mg1</x:v>
      </x:c>
      <x:c r="F212" s="17" t="n">
        <x:v>214.314858</x:v>
      </x:c>
    </x:row>
    <x:row r="213">
      <x:c r="A213" t="str">
        <x:v>GST</x:v>
      </x:c>
      <x:c r="B213" t="str">
        <x:v>TRINITY_DN196_c6_g1</x:v>
      </x:c>
      <x:c r="C213" t="str">
        <x:v>Dan</x:v>
      </x:c>
      <x:c r="D213" t="n">
        <x:v>2</x:v>
      </x:c>
      <x:c r="E213" t="str">
        <x:v>Dan_mg2</x:v>
      </x:c>
      <x:c r="F213" s="17" t="n">
        <x:v>314.133576</x:v>
      </x:c>
    </x:row>
    <x:row r="214">
      <x:c r="A214" t="str">
        <x:v>GST</x:v>
      </x:c>
      <x:c r="B214" t="str">
        <x:v>TRINITY_DN196_c6_g1</x:v>
      </x:c>
      <x:c r="C214" t="str">
        <x:v>Dan</x:v>
      </x:c>
      <x:c r="D214" t="n">
        <x:v>3</x:v>
      </x:c>
      <x:c r="E214" t="str">
        <x:v>Dan_mg3</x:v>
      </x:c>
      <x:c r="F214" s="17" t="n">
        <x:v>39.488433</x:v>
      </x:c>
    </x:row>
    <x:row r="215">
      <x:c r="A215" t="str">
        <x:v>GST</x:v>
      </x:c>
      <x:c r="B215" t="str">
        <x:v>TRINITY_DN196_c6_g1</x:v>
      </x:c>
      <x:c r="C215" t="str">
        <x:v>Mul</x:v>
      </x:c>
      <x:c r="D215" t="n">
        <x:v>1</x:v>
      </x:c>
      <x:c r="E215" t="str">
        <x:v>Mul_mg1</x:v>
      </x:c>
      <x:c r="F215" s="17" t="n">
        <x:v>153.974637</x:v>
      </x:c>
    </x:row>
    <x:row r="216">
      <x:c r="A216" t="str">
        <x:v>GST</x:v>
      </x:c>
      <x:c r="B216" t="str">
        <x:v>TRINITY_DN196_c6_g1</x:v>
      </x:c>
      <x:c r="C216" t="str">
        <x:v>Mul</x:v>
      </x:c>
      <x:c r="D216" t="n">
        <x:v>2</x:v>
      </x:c>
      <x:c r="E216" t="str">
        <x:v>Mul_mg2</x:v>
      </x:c>
      <x:c r="F216" s="17" t="n">
        <x:v>225.145662</x:v>
      </x:c>
    </x:row>
    <x:row r="217">
      <x:c r="A217" t="str">
        <x:v>GST</x:v>
      </x:c>
      <x:c r="B217" t="str">
        <x:v>TRINITY_DN196_c6_g1</x:v>
      </x:c>
      <x:c r="C217" t="str">
        <x:v>Mul</x:v>
      </x:c>
      <x:c r="D217" t="n">
        <x:v>3</x:v>
      </x:c>
      <x:c r="E217" t="str">
        <x:v>Mul_mg3</x:v>
      </x:c>
      <x:c r="F217" s="17" t="n">
        <x:v>221.947356</x:v>
      </x:c>
    </x:row>
    <x:row r="218">
      <x:c r="A218" t="str">
        <x:v>GST</x:v>
      </x:c>
      <x:c r="B218" t="str">
        <x:v>TRINITY_DN1970_c0_g1</x:v>
      </x:c>
      <x:c r="C218" t="str">
        <x:v>Dan</x:v>
      </x:c>
      <x:c r="D218" t="n">
        <x:v>1</x:v>
      </x:c>
      <x:c r="E218" t="str">
        <x:v>Dan_mg1</x:v>
      </x:c>
      <x:c r="F218" s="17" t="n">
        <x:v>5.094472</x:v>
      </x:c>
    </x:row>
    <x:row r="219">
      <x:c r="A219" t="str">
        <x:v>GST</x:v>
      </x:c>
      <x:c r="B219" t="str">
        <x:v>TRINITY_DN1970_c0_g1</x:v>
      </x:c>
      <x:c r="C219" t="str">
        <x:v>Dan</x:v>
      </x:c>
      <x:c r="D219" t="n">
        <x:v>2</x:v>
      </x:c>
      <x:c r="E219" t="str">
        <x:v>Dan_mg2</x:v>
      </x:c>
      <x:c r="F219" s="17" t="n">
        <x:v>11.616484999999999</x:v>
      </x:c>
    </x:row>
    <x:row r="220">
      <x:c r="A220" t="str">
        <x:v>GST</x:v>
      </x:c>
      <x:c r="B220" t="str">
        <x:v>TRINITY_DN1970_c0_g1</x:v>
      </x:c>
      <x:c r="C220" t="str">
        <x:v>Dan</x:v>
      </x:c>
      <x:c r="D220" t="n">
        <x:v>3</x:v>
      </x:c>
      <x:c r="E220" t="str">
        <x:v>Dan_mg3</x:v>
      </x:c>
      <x:c r="F220" s="17" t="n">
        <x:v>5.222049</x:v>
      </x:c>
    </x:row>
    <x:row r="221">
      <x:c r="A221" t="str">
        <x:v>GST</x:v>
      </x:c>
      <x:c r="B221" t="str">
        <x:v>TRINITY_DN1970_c0_g1</x:v>
      </x:c>
      <x:c r="C221" t="str">
        <x:v>Mul</x:v>
      </x:c>
      <x:c r="D221" t="n">
        <x:v>1</x:v>
      </x:c>
      <x:c r="E221" t="str">
        <x:v>Mul_mg1</x:v>
      </x:c>
      <x:c r="F221" s="17" t="n">
        <x:v>23.655359999999998</x:v>
      </x:c>
    </x:row>
    <x:row r="222">
      <x:c r="A222" t="str">
        <x:v>GST</x:v>
      </x:c>
      <x:c r="B222" t="str">
        <x:v>TRINITY_DN1970_c0_g1</x:v>
      </x:c>
      <x:c r="C222" t="str">
        <x:v>Mul</x:v>
      </x:c>
      <x:c r="D222" t="n">
        <x:v>2</x:v>
      </x:c>
      <x:c r="E222" t="str">
        <x:v>Mul_mg2</x:v>
      </x:c>
      <x:c r="F222" s="17" t="n">
        <x:v>8.541786</x:v>
      </x:c>
    </x:row>
    <x:row r="223">
      <x:c r="A223" t="str">
        <x:v>GST</x:v>
      </x:c>
      <x:c r="B223" t="str">
        <x:v>TRINITY_DN1970_c0_g1</x:v>
      </x:c>
      <x:c r="C223" t="str">
        <x:v>Mul</x:v>
      </x:c>
      <x:c r="D223" t="n">
        <x:v>3</x:v>
      </x:c>
      <x:c r="E223" t="str">
        <x:v>Mul_mg3</x:v>
      </x:c>
      <x:c r="F223" s="17" t="n">
        <x:v>9.035599</x:v>
      </x:c>
    </x:row>
    <x:row r="224">
      <x:c r="A224" t="str">
        <x:v>GST</x:v>
      </x:c>
      <x:c r="B224" t="str">
        <x:v>TRINITY_DN2000_c0_g1</x:v>
      </x:c>
      <x:c r="C224" t="str">
        <x:v>Dan</x:v>
      </x:c>
      <x:c r="D224" t="n">
        <x:v>1</x:v>
      </x:c>
      <x:c r="E224" t="str">
        <x:v>Dan_mg1</x:v>
      </x:c>
      <x:c r="F224" s="17" t="n">
        <x:v>2.690121</x:v>
      </x:c>
    </x:row>
    <x:row r="225">
      <x:c r="A225" t="str">
        <x:v>GST</x:v>
      </x:c>
      <x:c r="B225" t="str">
        <x:v>TRINITY_DN2000_c0_g1</x:v>
      </x:c>
      <x:c r="C225" t="str">
        <x:v>Dan</x:v>
      </x:c>
      <x:c r="D225" t="n">
        <x:v>2</x:v>
      </x:c>
      <x:c r="E225" t="str">
        <x:v>Dan_mg2</x:v>
      </x:c>
      <x:c r="F225" s="17" t="n">
        <x:v>3.440723</x:v>
      </x:c>
    </x:row>
    <x:row r="226">
      <x:c r="A226" t="str">
        <x:v>GST</x:v>
      </x:c>
      <x:c r="B226" t="str">
        <x:v>TRINITY_DN2000_c0_g1</x:v>
      </x:c>
      <x:c r="C226" t="str">
        <x:v>Dan</x:v>
      </x:c>
      <x:c r="D226" t="n">
        <x:v>3</x:v>
      </x:c>
      <x:c r="E226" t="str">
        <x:v>Dan_mg3</x:v>
      </x:c>
      <x:c r="F226" s="17" t="n">
        <x:v>2.542366</x:v>
      </x:c>
    </x:row>
    <x:row r="227">
      <x:c r="A227" t="str">
        <x:v>GST</x:v>
      </x:c>
      <x:c r="B227" t="str">
        <x:v>TRINITY_DN2000_c0_g1</x:v>
      </x:c>
      <x:c r="C227" t="str">
        <x:v>Mul</x:v>
      </x:c>
      <x:c r="D227" t="n">
        <x:v>1</x:v>
      </x:c>
      <x:c r="E227" t="str">
        <x:v>Mul_mg1</x:v>
      </x:c>
      <x:c r="F227" s="17" t="n">
        <x:v>3.552317</x:v>
      </x:c>
    </x:row>
    <x:row r="228">
      <x:c r="A228" t="str">
        <x:v>GST</x:v>
      </x:c>
      <x:c r="B228" t="str">
        <x:v>TRINITY_DN2000_c0_g1</x:v>
      </x:c>
      <x:c r="C228" t="str">
        <x:v>Mul</x:v>
      </x:c>
      <x:c r="D228" t="n">
        <x:v>2</x:v>
      </x:c>
      <x:c r="E228" t="str">
        <x:v>Mul_mg2</x:v>
      </x:c>
      <x:c r="F228" s="17" t="n">
        <x:v>3.710394</x:v>
      </x:c>
    </x:row>
    <x:row r="229">
      <x:c r="A229" t="str">
        <x:v>GST</x:v>
      </x:c>
      <x:c r="B229" t="str">
        <x:v>TRINITY_DN2000_c0_g1</x:v>
      </x:c>
      <x:c r="C229" t="str">
        <x:v>Mul</x:v>
      </x:c>
      <x:c r="D229" t="n">
        <x:v>3</x:v>
      </x:c>
      <x:c r="E229" t="str">
        <x:v>Mul_mg3</x:v>
      </x:c>
      <x:c r="F229" s="17" t="n">
        <x:v>4.959569</x:v>
      </x:c>
    </x:row>
    <x:row r="230">
      <x:c r="A230" t="str">
        <x:v>GST</x:v>
      </x:c>
      <x:c r="B230" t="str">
        <x:v>TRINITY_DN2379_c0_g3</x:v>
      </x:c>
      <x:c r="C230" t="str">
        <x:v>Dan</x:v>
      </x:c>
      <x:c r="D230" t="n">
        <x:v>1</x:v>
      </x:c>
      <x:c r="E230" t="str">
        <x:v>Dan_mg1</x:v>
      </x:c>
      <x:c r="F230" s="17" t="n">
        <x:v>7.154753</x:v>
      </x:c>
    </x:row>
    <x:row r="231">
      <x:c r="A231" t="str">
        <x:v>GST</x:v>
      </x:c>
      <x:c r="B231" t="str">
        <x:v>TRINITY_DN2379_c0_g3</x:v>
      </x:c>
      <x:c r="C231" t="str">
        <x:v>Dan</x:v>
      </x:c>
      <x:c r="D231" t="n">
        <x:v>2</x:v>
      </x:c>
      <x:c r="E231" t="str">
        <x:v>Dan_mg2</x:v>
      </x:c>
      <x:c r="F231" s="17" t="n">
        <x:v>7.283024999999999</x:v>
      </x:c>
    </x:row>
    <x:row r="232">
      <x:c r="A232" t="str">
        <x:v>GST</x:v>
      </x:c>
      <x:c r="B232" t="str">
        <x:v>TRINITY_DN2379_c0_g3</x:v>
      </x:c>
      <x:c r="C232" t="str">
        <x:v>Dan</x:v>
      </x:c>
      <x:c r="D232" t="n">
        <x:v>3</x:v>
      </x:c>
      <x:c r="E232" t="str">
        <x:v>Dan_mg3</x:v>
      </x:c>
      <x:c r="F232" s="17" t="n">
        <x:v>5.475772</x:v>
      </x:c>
    </x:row>
    <x:row r="233">
      <x:c r="A233" t="str">
        <x:v>GST</x:v>
      </x:c>
      <x:c r="B233" t="str">
        <x:v>TRINITY_DN2379_c0_g3</x:v>
      </x:c>
      <x:c r="C233" t="str">
        <x:v>Mul</x:v>
      </x:c>
      <x:c r="D233" t="n">
        <x:v>1</x:v>
      </x:c>
      <x:c r="E233" t="str">
        <x:v>Mul_mg1</x:v>
      </x:c>
      <x:c r="F233" s="17" t="n">
        <x:v>10.123603000000001</x:v>
      </x:c>
    </x:row>
    <x:row r="234">
      <x:c r="A234" t="str">
        <x:v>GST</x:v>
      </x:c>
      <x:c r="B234" t="str">
        <x:v>TRINITY_DN2379_c0_g3</x:v>
      </x:c>
      <x:c r="C234" t="str">
        <x:v>Mul</x:v>
      </x:c>
      <x:c r="D234" t="n">
        <x:v>2</x:v>
      </x:c>
      <x:c r="E234" t="str">
        <x:v>Mul_mg2</x:v>
      </x:c>
      <x:c r="F234" s="17" t="n">
        <x:v>10.791783</x:v>
      </x:c>
    </x:row>
    <x:row r="235">
      <x:c r="A235" t="str">
        <x:v>GST</x:v>
      </x:c>
      <x:c r="B235" t="str">
        <x:v>TRINITY_DN2379_c0_g3</x:v>
      </x:c>
      <x:c r="C235" t="str">
        <x:v>Mul</x:v>
      </x:c>
      <x:c r="D235" t="n">
        <x:v>3</x:v>
      </x:c>
      <x:c r="E235" t="str">
        <x:v>Mul_mg3</x:v>
      </x:c>
      <x:c r="F235" s="17" t="n">
        <x:v>8.334092</x:v>
      </x:c>
    </x:row>
    <x:row r="236">
      <x:c r="A236" t="str">
        <x:v>GST</x:v>
      </x:c>
      <x:c r="B236" t="str">
        <x:v>TRINITY_DN2529_c0_g1</x:v>
      </x:c>
      <x:c r="C236" t="str">
        <x:v>Dan</x:v>
      </x:c>
      <x:c r="D236" t="n">
        <x:v>1</x:v>
      </x:c>
      <x:c r="E236" t="str">
        <x:v>Dan_mg1</x:v>
      </x:c>
      <x:c r="F236" s="17" t="n">
        <x:v>3.54014</x:v>
      </x:c>
    </x:row>
    <x:row r="237">
      <x:c r="A237" t="str">
        <x:v>GST</x:v>
      </x:c>
      <x:c r="B237" t="str">
        <x:v>TRINITY_DN2529_c0_g1</x:v>
      </x:c>
      <x:c r="C237" t="str">
        <x:v>Dan</x:v>
      </x:c>
      <x:c r="D237" t="n">
        <x:v>2</x:v>
      </x:c>
      <x:c r="E237" t="str">
        <x:v>Dan_mg2</x:v>
      </x:c>
      <x:c r="F237" s="17" t="n">
        <x:v>4.39028</x:v>
      </x:c>
    </x:row>
    <x:row r="238">
      <x:c r="A238" t="str">
        <x:v>GST</x:v>
      </x:c>
      <x:c r="B238" t="str">
        <x:v>TRINITY_DN2529_c0_g1</x:v>
      </x:c>
      <x:c r="C238" t="str">
        <x:v>Dan</x:v>
      </x:c>
      <x:c r="D238" t="n">
        <x:v>3</x:v>
      </x:c>
      <x:c r="E238" t="str">
        <x:v>Dan_mg3</x:v>
      </x:c>
      <x:c r="F238" s="17" t="n">
        <x:v>2.882027</x:v>
      </x:c>
    </x:row>
    <x:row r="239">
      <x:c r="A239" t="str">
        <x:v>GST</x:v>
      </x:c>
      <x:c r="B239" t="str">
        <x:v>TRINITY_DN2529_c0_g1</x:v>
      </x:c>
      <x:c r="C239" t="str">
        <x:v>Mul</x:v>
      </x:c>
      <x:c r="D239" t="n">
        <x:v>1</x:v>
      </x:c>
      <x:c r="E239" t="str">
        <x:v>Mul_mg1</x:v>
      </x:c>
      <x:c r="F239" s="17" t="n">
        <x:v>3.546255</x:v>
      </x:c>
    </x:row>
    <x:row r="240">
      <x:c r="A240" t="str">
        <x:v>GST</x:v>
      </x:c>
      <x:c r="B240" t="str">
        <x:v>TRINITY_DN2529_c0_g1</x:v>
      </x:c>
      <x:c r="C240" t="str">
        <x:v>Mul</x:v>
      </x:c>
      <x:c r="D240" t="n">
        <x:v>2</x:v>
      </x:c>
      <x:c r="E240" t="str">
        <x:v>Mul_mg2</x:v>
      </x:c>
      <x:c r="F240" s="17" t="n">
        <x:v>3.675426</x:v>
      </x:c>
    </x:row>
    <x:row r="241">
      <x:c r="A241" t="str">
        <x:v>GST</x:v>
      </x:c>
      <x:c r="B241" t="str">
        <x:v>TRINITY_DN2529_c0_g1</x:v>
      </x:c>
      <x:c r="C241" t="str">
        <x:v>Mul</x:v>
      </x:c>
      <x:c r="D241" t="n">
        <x:v>3</x:v>
      </x:c>
      <x:c r="E241" t="str">
        <x:v>Mul_mg3</x:v>
      </x:c>
      <x:c r="F241" s="17" t="n">
        <x:v>4.953489</x:v>
      </x:c>
    </x:row>
    <x:row r="242">
      <x:c r="A242" t="str">
        <x:v>UGT</x:v>
      </x:c>
      <x:c r="B242" t="str">
        <x:v>TRINITY_DN11717_c0_g2</x:v>
      </x:c>
      <x:c r="C242" t="str">
        <x:v>Dan</x:v>
      </x:c>
      <x:c r="D242" t="n">
        <x:v>1</x:v>
      </x:c>
      <x:c r="E242" t="str">
        <x:v>Dan_mg1</x:v>
      </x:c>
      <x:c r="F242" s="17" t="n">
        <x:v>1.033641</x:v>
      </x:c>
    </x:row>
    <x:row r="243">
      <x:c r="A243" t="str">
        <x:v>UGT</x:v>
      </x:c>
      <x:c r="B243" t="str">
        <x:v>TRINITY_DN11717_c0_g2</x:v>
      </x:c>
      <x:c r="C243" t="str">
        <x:v>Dan</x:v>
      </x:c>
      <x:c r="D243" t="n">
        <x:v>2</x:v>
      </x:c>
      <x:c r="E243" t="str">
        <x:v>Dan_mg2</x:v>
      </x:c>
      <x:c r="F243" s="17" t="n">
        <x:v>1.061489</x:v>
      </x:c>
    </x:row>
    <x:row r="244">
      <x:c r="A244" t="str">
        <x:v>UGT</x:v>
      </x:c>
      <x:c r="B244" t="str">
        <x:v>TRINITY_DN11717_c0_g2</x:v>
      </x:c>
      <x:c r="C244" t="str">
        <x:v>Dan</x:v>
      </x:c>
      <x:c r="D244" t="n">
        <x:v>3</x:v>
      </x:c>
      <x:c r="E244" t="str">
        <x:v>Dan_mg3</x:v>
      </x:c>
      <x:c r="F244" s="17" t="n">
        <x:v>5.289692</x:v>
      </x:c>
    </x:row>
    <x:row r="245">
      <x:c r="A245" t="str">
        <x:v>UGT</x:v>
      </x:c>
      <x:c r="B245" t="str">
        <x:v>TRINITY_DN11717_c0_g2</x:v>
      </x:c>
      <x:c r="C245" t="str">
        <x:v>Mul</x:v>
      </x:c>
      <x:c r="D245" t="n">
        <x:v>1</x:v>
      </x:c>
      <x:c r="E245" t="str">
        <x:v>Mul_mg1</x:v>
      </x:c>
      <x:c r="F245" s="17" t="n">
        <x:v>2.296463</x:v>
      </x:c>
    </x:row>
    <x:row r="246">
      <x:c r="A246" t="str">
        <x:v>UGT</x:v>
      </x:c>
      <x:c r="B246" t="str">
        <x:v>TRINITY_DN11717_c0_g2</x:v>
      </x:c>
      <x:c r="C246" t="str">
        <x:v>Mul</x:v>
      </x:c>
      <x:c r="D246" t="n">
        <x:v>2</x:v>
      </x:c>
      <x:c r="E246" t="str">
        <x:v>Mul_mg2</x:v>
      </x:c>
      <x:c r="F246" s="17" t="n">
        <x:v>1.016772</x:v>
      </x:c>
    </x:row>
    <x:row r="247">
      <x:c r="A247" t="str">
        <x:v>UGT</x:v>
      </x:c>
      <x:c r="B247" t="str">
        <x:v>TRINITY_DN11717_c0_g2</x:v>
      </x:c>
      <x:c r="C247" t="str">
        <x:v>Mul</x:v>
      </x:c>
      <x:c r="D247" t="n">
        <x:v>3</x:v>
      </x:c>
      <x:c r="E247" t="str">
        <x:v>Mul_mg3</x:v>
      </x:c>
      <x:c r="F247" s="17" t="n">
        <x:v>0.901815</x:v>
      </x:c>
    </x:row>
    <x:row r="248">
      <x:c r="A248" t="str">
        <x:v>UGT</x:v>
      </x:c>
      <x:c r="B248" t="str">
        <x:v>TRINITY_DN12106_c1_g5</x:v>
      </x:c>
      <x:c r="C248" t="str">
        <x:v>Dan</x:v>
      </x:c>
      <x:c r="D248" t="n">
        <x:v>1</x:v>
      </x:c>
      <x:c r="E248" t="str">
        <x:v>Dan_mg1</x:v>
      </x:c>
      <x:c r="F248" s="17" t="n">
        <x:v>0.123093</x:v>
      </x:c>
    </x:row>
    <x:row r="249">
      <x:c r="A249" t="str">
        <x:v>UGT</x:v>
      </x:c>
      <x:c r="B249" t="str">
        <x:v>TRINITY_DN12106_c1_g5</x:v>
      </x:c>
      <x:c r="C249" t="str">
        <x:v>Dan</x:v>
      </x:c>
      <x:c r="D249" t="n">
        <x:v>2</x:v>
      </x:c>
      <x:c r="E249" t="str">
        <x:v>Dan_mg2</x:v>
      </x:c>
      <x:c r="F249" s="17" t="n">
        <x:v>0.154383</x:v>
      </x:c>
    </x:row>
    <x:row r="250">
      <x:c r="A250" t="str">
        <x:v>UGT</x:v>
      </x:c>
      <x:c r="B250" t="str">
        <x:v>TRINITY_DN12106_c1_g5</x:v>
      </x:c>
      <x:c r="C250" t="str">
        <x:v>Dan</x:v>
      </x:c>
      <x:c r="D250" t="n">
        <x:v>3</x:v>
      </x:c>
      <x:c r="E250" t="str">
        <x:v>Dan_mg3</x:v>
      </x:c>
      <x:c r="F250" s="17" t="n">
        <x:v>0.314569</x:v>
      </x:c>
    </x:row>
    <x:row r="251">
      <x:c r="A251" t="str">
        <x:v>UGT</x:v>
      </x:c>
      <x:c r="B251" t="str">
        <x:v>TRINITY_DN12106_c1_g5</x:v>
      </x:c>
      <x:c r="C251" t="str">
        <x:v>Mul</x:v>
      </x:c>
      <x:c r="D251" t="n">
        <x:v>1</x:v>
      </x:c>
      <x:c r="E251" t="str">
        <x:v>Mul_mg1</x:v>
      </x:c>
      <x:c r="F251" s="17" t="n">
        <x:v>0</x:v>
      </x:c>
    </x:row>
    <x:row r="252">
      <x:c r="A252" t="str">
        <x:v>UGT</x:v>
      </x:c>
      <x:c r="B252" t="str">
        <x:v>TRINITY_DN12106_c1_g5</x:v>
      </x:c>
      <x:c r="C252" t="str">
        <x:v>Mul</x:v>
      </x:c>
      <x:c r="D252" t="n">
        <x:v>2</x:v>
      </x:c>
      <x:c r="E252" t="str">
        <x:v>Mul_mg2</x:v>
      </x:c>
      <x:c r="F252" s="17" t="n">
        <x:v>0</x:v>
      </x:c>
    </x:row>
    <x:row r="253">
      <x:c r="A253" t="str">
        <x:v>UGT</x:v>
      </x:c>
      <x:c r="B253" t="str">
        <x:v>TRINITY_DN12106_c1_g5</x:v>
      </x:c>
      <x:c r="C253" t="str">
        <x:v>Mul</x:v>
      </x:c>
      <x:c r="D253" t="n">
        <x:v>3</x:v>
      </x:c>
      <x:c r="E253" t="str">
        <x:v>Mul_mg3</x:v>
      </x:c>
      <x:c r="F253" s="17" t="n">
        <x:v>0</x:v>
      </x:c>
    </x:row>
    <x:row r="254">
      <x:c r="A254" t="str">
        <x:v>UGT</x:v>
      </x:c>
      <x:c r="B254" t="str">
        <x:v>TRINITY_DN1342_c0_g2</x:v>
      </x:c>
      <x:c r="C254" t="str">
        <x:v>Dan</x:v>
      </x:c>
      <x:c r="D254" t="n">
        <x:v>1</x:v>
      </x:c>
      <x:c r="E254" t="str">
        <x:v>Dan_mg1</x:v>
      </x:c>
      <x:c r="F254" s="17" t="n">
        <x:v>2.363133</x:v>
      </x:c>
    </x:row>
    <x:row r="255">
      <x:c r="A255" t="str">
        <x:v>UGT</x:v>
      </x:c>
      <x:c r="B255" t="str">
        <x:v>TRINITY_DN1342_c0_g2</x:v>
      </x:c>
      <x:c r="C255" t="str">
        <x:v>Dan</x:v>
      </x:c>
      <x:c r="D255" t="n">
        <x:v>2</x:v>
      </x:c>
      <x:c r="E255" t="str">
        <x:v>Dan_mg2</x:v>
      </x:c>
      <x:c r="F255" s="17" t="n">
        <x:v>4.55262</x:v>
      </x:c>
    </x:row>
    <x:row r="256">
      <x:c r="A256" t="str">
        <x:v>UGT</x:v>
      </x:c>
      <x:c r="B256" t="str">
        <x:v>TRINITY_DN1342_c0_g2</x:v>
      </x:c>
      <x:c r="C256" t="str">
        <x:v>Dan</x:v>
      </x:c>
      <x:c r="D256" t="n">
        <x:v>3</x:v>
      </x:c>
      <x:c r="E256" t="str">
        <x:v>Dan_mg3</x:v>
      </x:c>
      <x:c r="F256" s="17" t="n">
        <x:v>2.80302</x:v>
      </x:c>
    </x:row>
    <x:row r="257">
      <x:c r="A257" t="str">
        <x:v>UGT</x:v>
      </x:c>
      <x:c r="B257" t="str">
        <x:v>TRINITY_DN1342_c0_g2</x:v>
      </x:c>
      <x:c r="C257" t="str">
        <x:v>Mul</x:v>
      </x:c>
      <x:c r="D257" t="n">
        <x:v>1</x:v>
      </x:c>
      <x:c r="E257" t="str">
        <x:v>Mul_mg1</x:v>
      </x:c>
      <x:c r="F257" s="17" t="n">
        <x:v>3.7963739999999997</x:v>
      </x:c>
    </x:row>
    <x:row r="258">
      <x:c r="A258" t="str">
        <x:v>UGT</x:v>
      </x:c>
      <x:c r="B258" t="str">
        <x:v>TRINITY_DN1342_c0_g2</x:v>
      </x:c>
      <x:c r="C258" t="str">
        <x:v>Mul</x:v>
      </x:c>
      <x:c r="D258" t="n">
        <x:v>2</x:v>
      </x:c>
      <x:c r="E258" t="str">
        <x:v>Mul_mg2</x:v>
      </x:c>
      <x:c r="F258" s="17" t="n">
        <x:v>2.714908</x:v>
      </x:c>
    </x:row>
    <x:row r="259">
      <x:c r="A259" t="str">
        <x:v>UGT</x:v>
      </x:c>
      <x:c r="B259" t="str">
        <x:v>TRINITY_DN1342_c0_g2</x:v>
      </x:c>
      <x:c r="C259" t="str">
        <x:v>Mul</x:v>
      </x:c>
      <x:c r="D259" t="n">
        <x:v>3</x:v>
      </x:c>
      <x:c r="E259" t="str">
        <x:v>Mul_mg3</x:v>
      </x:c>
      <x:c r="F259" s="17" t="n">
        <x:v>3.186201</x:v>
      </x:c>
    </x:row>
    <x:row r="260">
      <x:c r="A260" t="str">
        <x:v>UGT</x:v>
      </x:c>
      <x:c r="B260" t="str">
        <x:v>TRINITY_DN13580_c0_g1</x:v>
      </x:c>
      <x:c r="C260" t="str">
        <x:v>Dan</x:v>
      </x:c>
      <x:c r="D260" t="n">
        <x:v>1</x:v>
      </x:c>
      <x:c r="E260" t="str">
        <x:v>Dan_mg1</x:v>
      </x:c>
      <x:c r="F260" s="17" t="n">
        <x:v>0.129683</x:v>
      </x:c>
    </x:row>
    <x:row r="261">
      <x:c r="A261" t="str">
        <x:v>UGT</x:v>
      </x:c>
      <x:c r="B261" t="str">
        <x:v>TRINITY_DN13580_c0_g1</x:v>
      </x:c>
      <x:c r="C261" t="str">
        <x:v>Dan</x:v>
      </x:c>
      <x:c r="D261" t="n">
        <x:v>2</x:v>
      </x:c>
      <x:c r="E261" t="str">
        <x:v>Dan_mg2</x:v>
      </x:c>
      <x:c r="F261" s="17" t="n">
        <x:v>0.217209</x:v>
      </x:c>
    </x:row>
    <x:row r="262">
      <x:c r="A262" t="str">
        <x:v>UGT</x:v>
      </x:c>
      <x:c r="B262" t="str">
        <x:v>TRINITY_DN13580_c0_g1</x:v>
      </x:c>
      <x:c r="C262" t="str">
        <x:v>Dan</x:v>
      </x:c>
      <x:c r="D262" t="n">
        <x:v>3</x:v>
      </x:c>
      <x:c r="E262" t="str">
        <x:v>Dan_mg3</x:v>
      </x:c>
      <x:c r="F262" s="17" t="n">
        <x:v>0.175213</x:v>
      </x:c>
    </x:row>
    <x:row r="263">
      <x:c r="A263" t="str">
        <x:v>UGT</x:v>
      </x:c>
      <x:c r="B263" t="str">
        <x:v>TRINITY_DN13580_c0_g1</x:v>
      </x:c>
      <x:c r="C263" t="str">
        <x:v>Mul</x:v>
      </x:c>
      <x:c r="D263" t="n">
        <x:v>1</x:v>
      </x:c>
      <x:c r="E263" t="str">
        <x:v>Mul_mg1</x:v>
      </x:c>
      <x:c r="F263" s="17" t="n">
        <x:v>0.214099</x:v>
      </x:c>
    </x:row>
    <x:row r="264">
      <x:c r="A264" t="str">
        <x:v>UGT</x:v>
      </x:c>
      <x:c r="B264" t="str">
        <x:v>TRINITY_DN13580_c0_g1</x:v>
      </x:c>
      <x:c r="C264" t="str">
        <x:v>Mul</x:v>
      </x:c>
      <x:c r="D264" t="n">
        <x:v>2</x:v>
      </x:c>
      <x:c r="E264" t="str">
        <x:v>Mul_mg2</x:v>
      </x:c>
      <x:c r="F264" s="17" t="n">
        <x:v>0.062315</x:v>
      </x:c>
    </x:row>
    <x:row r="265">
      <x:c r="A265" t="str">
        <x:v>UGT</x:v>
      </x:c>
      <x:c r="B265" t="str">
        <x:v>TRINITY_DN13580_c0_g1</x:v>
      </x:c>
      <x:c r="C265" t="str">
        <x:v>Mul</x:v>
      </x:c>
      <x:c r="D265" t="n">
        <x:v>3</x:v>
      </x:c>
      <x:c r="E265" t="str">
        <x:v>Mul_mg3</x:v>
      </x:c>
      <x:c r="F265" s="17" t="n">
        <x:v>0.115995</x:v>
      </x:c>
    </x:row>
    <x:row r="266">
      <x:c r="A266" t="str">
        <x:v>UGT</x:v>
      </x:c>
      <x:c r="B266" t="str">
        <x:v>TRINITY_DN16531_c0_g1</x:v>
      </x:c>
      <x:c r="C266" t="str">
        <x:v>Dan</x:v>
      </x:c>
      <x:c r="D266" t="n">
        <x:v>1</x:v>
      </x:c>
      <x:c r="E266" t="str">
        <x:v>Dan_mg1</x:v>
      </x:c>
      <x:c r="F266" s="17" t="n">
        <x:v>0.100847</x:v>
      </x:c>
    </x:row>
    <x:row r="267">
      <x:c r="A267" t="str">
        <x:v>UGT</x:v>
      </x:c>
      <x:c r="B267" t="str">
        <x:v>TRINITY_DN16531_c0_g1</x:v>
      </x:c>
      <x:c r="C267" t="str">
        <x:v>Dan</x:v>
      </x:c>
      <x:c r="D267" t="n">
        <x:v>2</x:v>
      </x:c>
      <x:c r="E267" t="str">
        <x:v>Dan_mg2</x:v>
      </x:c>
      <x:c r="F267" s="17" t="n">
        <x:v>0.7889349999999999</x:v>
      </x:c>
    </x:row>
    <x:row r="268">
      <x:c r="A268" t="str">
        <x:v>UGT</x:v>
      </x:c>
      <x:c r="B268" t="str">
        <x:v>TRINITY_DN16531_c0_g1</x:v>
      </x:c>
      <x:c r="C268" t="str">
        <x:v>Dan</x:v>
      </x:c>
      <x:c r="D268" t="n">
        <x:v>3</x:v>
      </x:c>
      <x:c r="E268" t="str">
        <x:v>Dan_mg3</x:v>
      </x:c>
      <x:c r="F268" s="17" t="n">
        <x:v>0.348314</x:v>
      </x:c>
    </x:row>
    <x:row r="269">
      <x:c r="A269" t="str">
        <x:v>UGT</x:v>
      </x:c>
      <x:c r="B269" t="str">
        <x:v>TRINITY_DN16531_c0_g1</x:v>
      </x:c>
      <x:c r="C269" t="str">
        <x:v>Mul</x:v>
      </x:c>
      <x:c r="D269" t="n">
        <x:v>1</x:v>
      </x:c>
      <x:c r="E269" t="str">
        <x:v>Mul_mg1</x:v>
      </x:c>
      <x:c r="F269" s="17" t="n">
        <x:v>0.382125</x:v>
      </x:c>
    </x:row>
    <x:row r="270">
      <x:c r="A270" t="str">
        <x:v>UGT</x:v>
      </x:c>
      <x:c r="B270" t="str">
        <x:v>TRINITY_DN16531_c0_g1</x:v>
      </x:c>
      <x:c r="C270" t="str">
        <x:v>Mul</x:v>
      </x:c>
      <x:c r="D270" t="n">
        <x:v>2</x:v>
      </x:c>
      <x:c r="E270" t="str">
        <x:v>Mul_mg2</x:v>
      </x:c>
      <x:c r="F270" s="17" t="n">
        <x:v>0.22200199999999998</x:v>
      </x:c>
    </x:row>
    <x:row r="271">
      <x:c r="A271" t="str">
        <x:v>UGT</x:v>
      </x:c>
      <x:c r="B271" t="str">
        <x:v>TRINITY_DN16531_c0_g1</x:v>
      </x:c>
      <x:c r="C271" t="str">
        <x:v>Mul</x:v>
      </x:c>
      <x:c r="D271" t="n">
        <x:v>3</x:v>
      </x:c>
      <x:c r="E271" t="str">
        <x:v>Mul_mg3</x:v>
      </x:c>
      <x:c r="F271" s="17" t="n">
        <x:v>0.29913100000000004</x:v>
      </x:c>
    </x:row>
    <x:row r="272">
      <x:c r="A272" t="str">
        <x:v>UGT</x:v>
      </x:c>
      <x:c r="B272" t="str">
        <x:v>TRINITY_DN1687_c0_g1</x:v>
      </x:c>
      <x:c r="C272" t="str">
        <x:v>Dan</x:v>
      </x:c>
      <x:c r="D272" t="n">
        <x:v>1</x:v>
      </x:c>
      <x:c r="E272" t="str">
        <x:v>Dan_mg1</x:v>
      </x:c>
      <x:c r="F272" s="17" t="n">
        <x:v>6.278254</x:v>
      </x:c>
    </x:row>
    <x:row r="273">
      <x:c r="A273" t="str">
        <x:v>UGT</x:v>
      </x:c>
      <x:c r="B273" t="str">
        <x:v>TRINITY_DN1687_c0_g1</x:v>
      </x:c>
      <x:c r="C273" t="str">
        <x:v>Dan</x:v>
      </x:c>
      <x:c r="D273" t="n">
        <x:v>2</x:v>
      </x:c>
      <x:c r="E273" t="str">
        <x:v>Dan_mg2</x:v>
      </x:c>
      <x:c r="F273" s="17" t="n">
        <x:v>8.758454</x:v>
      </x:c>
    </x:row>
    <x:row r="274">
      <x:c r="A274" t="str">
        <x:v>UGT</x:v>
      </x:c>
      <x:c r="B274" t="str">
        <x:v>TRINITY_DN1687_c0_g1</x:v>
      </x:c>
      <x:c r="C274" t="str">
        <x:v>Dan</x:v>
      </x:c>
      <x:c r="D274" t="n">
        <x:v>3</x:v>
      </x:c>
      <x:c r="E274" t="str">
        <x:v>Dan_mg3</x:v>
      </x:c>
      <x:c r="F274" s="17" t="n">
        <x:v>5.843915</x:v>
      </x:c>
    </x:row>
    <x:row r="275">
      <x:c r="A275" t="str">
        <x:v>UGT</x:v>
      </x:c>
      <x:c r="B275" t="str">
        <x:v>TRINITY_DN1687_c0_g1</x:v>
      </x:c>
      <x:c r="C275" t="str">
        <x:v>Mul</x:v>
      </x:c>
      <x:c r="D275" t="n">
        <x:v>1</x:v>
      </x:c>
      <x:c r="E275" t="str">
        <x:v>Mul_mg1</x:v>
      </x:c>
      <x:c r="F275" s="17" t="n">
        <x:v>10.933138</x:v>
      </x:c>
    </x:row>
    <x:row r="276">
      <x:c r="A276" t="str">
        <x:v>UGT</x:v>
      </x:c>
      <x:c r="B276" t="str">
        <x:v>TRINITY_DN1687_c0_g1</x:v>
      </x:c>
      <x:c r="C276" t="str">
        <x:v>Mul</x:v>
      </x:c>
      <x:c r="D276" t="n">
        <x:v>2</x:v>
      </x:c>
      <x:c r="E276" t="str">
        <x:v>Mul_mg2</x:v>
      </x:c>
      <x:c r="F276" s="17" t="n">
        <x:v>8.49745</x:v>
      </x:c>
    </x:row>
    <x:row r="277">
      <x:c r="A277" t="str">
        <x:v>UGT</x:v>
      </x:c>
      <x:c r="B277" t="str">
        <x:v>TRINITY_DN1687_c0_g1</x:v>
      </x:c>
      <x:c r="C277" t="str">
        <x:v>Mul</x:v>
      </x:c>
      <x:c r="D277" t="n">
        <x:v>3</x:v>
      </x:c>
      <x:c r="E277" t="str">
        <x:v>Mul_mg3</x:v>
      </x:c>
      <x:c r="F277" s="17" t="n">
        <x:v>10.407913</x:v>
      </x:c>
    </x:row>
    <x:row r="278">
      <x:c r="A278" t="str">
        <x:v>UGT</x:v>
      </x:c>
      <x:c r="B278" t="str">
        <x:v>TRINITY_DN1689_c0_g1</x:v>
      </x:c>
      <x:c r="C278" t="str">
        <x:v>Dan</x:v>
      </x:c>
      <x:c r="D278" t="n">
        <x:v>1</x:v>
      </x:c>
      <x:c r="E278" t="str">
        <x:v>Dan_mg1</x:v>
      </x:c>
      <x:c r="F278" s="17" t="n">
        <x:v>7.946454</x:v>
      </x:c>
    </x:row>
    <x:row r="279">
      <x:c r="A279" t="str">
        <x:v>UGT</x:v>
      </x:c>
      <x:c r="B279" t="str">
        <x:v>TRINITY_DN1689_c0_g1</x:v>
      </x:c>
      <x:c r="C279" t="str">
        <x:v>Dan</x:v>
      </x:c>
      <x:c r="D279" t="n">
        <x:v>2</x:v>
      </x:c>
      <x:c r="E279" t="str">
        <x:v>Dan_mg2</x:v>
      </x:c>
      <x:c r="F279" s="17" t="n">
        <x:v>25.276881000000003</x:v>
      </x:c>
    </x:row>
    <x:row r="280">
      <x:c r="A280" t="str">
        <x:v>UGT</x:v>
      </x:c>
      <x:c r="B280" t="str">
        <x:v>TRINITY_DN1689_c0_g1</x:v>
      </x:c>
      <x:c r="C280" t="str">
        <x:v>Dan</x:v>
      </x:c>
      <x:c r="D280" t="n">
        <x:v>3</x:v>
      </x:c>
      <x:c r="E280" t="str">
        <x:v>Dan_mg3</x:v>
      </x:c>
      <x:c r="F280" s="17" t="n">
        <x:v>31.249921</x:v>
      </x:c>
    </x:row>
    <x:row r="281">
      <x:c r="A281" t="str">
        <x:v>UGT</x:v>
      </x:c>
      <x:c r="B281" t="str">
        <x:v>TRINITY_DN1689_c0_g1</x:v>
      </x:c>
      <x:c r="C281" t="str">
        <x:v>Mul</x:v>
      </x:c>
      <x:c r="D281" t="n">
        <x:v>1</x:v>
      </x:c>
      <x:c r="E281" t="str">
        <x:v>Mul_mg1</x:v>
      </x:c>
      <x:c r="F281" s="17" t="n">
        <x:v>19.923954000000002</x:v>
      </x:c>
    </x:row>
    <x:row r="282">
      <x:c r="A282" t="str">
        <x:v>UGT</x:v>
      </x:c>
      <x:c r="B282" t="str">
        <x:v>TRINITY_DN1689_c0_g1</x:v>
      </x:c>
      <x:c r="C282" t="str">
        <x:v>Mul</x:v>
      </x:c>
      <x:c r="D282" t="n">
        <x:v>2</x:v>
      </x:c>
      <x:c r="E282" t="str">
        <x:v>Mul_mg2</x:v>
      </x:c>
      <x:c r="F282" s="17" t="n">
        <x:v>35.437479999999994</x:v>
      </x:c>
    </x:row>
    <x:row r="283">
      <x:c r="A283" t="str">
        <x:v>UGT</x:v>
      </x:c>
      <x:c r="B283" t="str">
        <x:v>TRINITY_DN1689_c0_g1</x:v>
      </x:c>
      <x:c r="C283" t="str">
        <x:v>Mul</x:v>
      </x:c>
      <x:c r="D283" t="n">
        <x:v>3</x:v>
      </x:c>
      <x:c r="E283" t="str">
        <x:v>Mul_mg3</x:v>
      </x:c>
      <x:c r="F283" s="17" t="n">
        <x:v>28.001607</x:v>
      </x:c>
    </x:row>
    <x:row r="284">
      <x:c r="A284" t="str">
        <x:v>UGT</x:v>
      </x:c>
      <x:c r="B284" t="str">
        <x:v>TRINITY_DN1689_c0_g2</x:v>
      </x:c>
      <x:c r="C284" t="str">
        <x:v>Dan</x:v>
      </x:c>
      <x:c r="D284" t="n">
        <x:v>1</x:v>
      </x:c>
      <x:c r="E284" t="str">
        <x:v>Dan_mg1</x:v>
      </x:c>
      <x:c r="F284" s="17" t="n">
        <x:v>2.129996</x:v>
      </x:c>
    </x:row>
    <x:row r="285">
      <x:c r="A285" t="str">
        <x:v>UGT</x:v>
      </x:c>
      <x:c r="B285" t="str">
        <x:v>TRINITY_DN1689_c0_g2</x:v>
      </x:c>
      <x:c r="C285" t="str">
        <x:v>Dan</x:v>
      </x:c>
      <x:c r="D285" t="n">
        <x:v>2</x:v>
      </x:c>
      <x:c r="E285" t="str">
        <x:v>Dan_mg2</x:v>
      </x:c>
      <x:c r="F285" s="17" t="n">
        <x:v>5.287048</x:v>
      </x:c>
    </x:row>
    <x:row r="286">
      <x:c r="A286" t="str">
        <x:v>UGT</x:v>
      </x:c>
      <x:c r="B286" t="str">
        <x:v>TRINITY_DN1689_c0_g2</x:v>
      </x:c>
      <x:c r="C286" t="str">
        <x:v>Dan</x:v>
      </x:c>
      <x:c r="D286" t="n">
        <x:v>3</x:v>
      </x:c>
      <x:c r="E286" t="str">
        <x:v>Dan_mg3</x:v>
      </x:c>
      <x:c r="F286" s="17" t="n">
        <x:v>2.54413</x:v>
      </x:c>
    </x:row>
    <x:row r="287">
      <x:c r="A287" t="str">
        <x:v>UGT</x:v>
      </x:c>
      <x:c r="B287" t="str">
        <x:v>TRINITY_DN1689_c0_g2</x:v>
      </x:c>
      <x:c r="C287" t="str">
        <x:v>Mul</x:v>
      </x:c>
      <x:c r="D287" t="n">
        <x:v>1</x:v>
      </x:c>
      <x:c r="E287" t="str">
        <x:v>Mul_mg1</x:v>
      </x:c>
      <x:c r="F287" s="17" t="n">
        <x:v>5.08407</x:v>
      </x:c>
    </x:row>
    <x:row r="288">
      <x:c r="A288" t="str">
        <x:v>UGT</x:v>
      </x:c>
      <x:c r="B288" t="str">
        <x:v>TRINITY_DN1689_c0_g2</x:v>
      </x:c>
      <x:c r="C288" t="str">
        <x:v>Mul</x:v>
      </x:c>
      <x:c r="D288" t="n">
        <x:v>2</x:v>
      </x:c>
      <x:c r="E288" t="str">
        <x:v>Mul_mg2</x:v>
      </x:c>
      <x:c r="F288" s="17" t="n">
        <x:v>7.978708</x:v>
      </x:c>
    </x:row>
    <x:row r="289">
      <x:c r="A289" t="str">
        <x:v>UGT</x:v>
      </x:c>
      <x:c r="B289" t="str">
        <x:v>TRINITY_DN1689_c0_g2</x:v>
      </x:c>
      <x:c r="C289" t="str">
        <x:v>Mul</x:v>
      </x:c>
      <x:c r="D289" t="n">
        <x:v>3</x:v>
      </x:c>
      <x:c r="E289" t="str">
        <x:v>Mul_mg3</x:v>
      </x:c>
      <x:c r="F289" s="17" t="n">
        <x:v>3.531019</x:v>
      </x:c>
    </x:row>
    <x:row r="290">
      <x:c r="A290" t="str">
        <x:v>UGT</x:v>
      </x:c>
      <x:c r="B290" t="str">
        <x:v>TRINITY_DN1689_c1_g1</x:v>
      </x:c>
      <x:c r="C290" t="str">
        <x:v>Dan</x:v>
      </x:c>
      <x:c r="D290" t="n">
        <x:v>1</x:v>
      </x:c>
      <x:c r="E290" t="str">
        <x:v>Dan_mg1</x:v>
      </x:c>
      <x:c r="F290" s="17" t="n">
        <x:v>3.755762</x:v>
      </x:c>
    </x:row>
    <x:row r="291">
      <x:c r="A291" t="str">
        <x:v>UGT</x:v>
      </x:c>
      <x:c r="B291" t="str">
        <x:v>TRINITY_DN1689_c1_g1</x:v>
      </x:c>
      <x:c r="C291" t="str">
        <x:v>Dan</x:v>
      </x:c>
      <x:c r="D291" t="n">
        <x:v>2</x:v>
      </x:c>
      <x:c r="E291" t="str">
        <x:v>Dan_mg2</x:v>
      </x:c>
      <x:c r="F291" s="17" t="n">
        <x:v>34.745565</x:v>
      </x:c>
    </x:row>
    <x:row r="292">
      <x:c r="A292" t="str">
        <x:v>UGT</x:v>
      </x:c>
      <x:c r="B292" t="str">
        <x:v>TRINITY_DN1689_c1_g1</x:v>
      </x:c>
      <x:c r="C292" t="str">
        <x:v>Dan</x:v>
      </x:c>
      <x:c r="D292" t="n">
        <x:v>3</x:v>
      </x:c>
      <x:c r="E292" t="str">
        <x:v>Dan_mg3</x:v>
      </x:c>
      <x:c r="F292" s="17" t="n">
        <x:v>98.791162</x:v>
      </x:c>
    </x:row>
    <x:row r="293">
      <x:c r="A293" t="str">
        <x:v>UGT</x:v>
      </x:c>
      <x:c r="B293" t="str">
        <x:v>TRINITY_DN1689_c1_g1</x:v>
      </x:c>
      <x:c r="C293" t="str">
        <x:v>Mul</x:v>
      </x:c>
      <x:c r="D293" t="n">
        <x:v>1</x:v>
      </x:c>
      <x:c r="E293" t="str">
        <x:v>Mul_mg1</x:v>
      </x:c>
      <x:c r="F293" s="17" t="n">
        <x:v>11.957431</x:v>
      </x:c>
    </x:row>
    <x:row r="294">
      <x:c r="A294" t="str">
        <x:v>UGT</x:v>
      </x:c>
      <x:c r="B294" t="str">
        <x:v>TRINITY_DN1689_c1_g1</x:v>
      </x:c>
      <x:c r="C294" t="str">
        <x:v>Mul</x:v>
      </x:c>
      <x:c r="D294" t="n">
        <x:v>2</x:v>
      </x:c>
      <x:c r="E294" t="str">
        <x:v>Mul_mg2</x:v>
      </x:c>
      <x:c r="F294" s="17" t="n">
        <x:v>57.602584</x:v>
      </x:c>
    </x:row>
    <x:row r="295">
      <x:c r="A295" t="str">
        <x:v>UGT</x:v>
      </x:c>
      <x:c r="B295" t="str">
        <x:v>TRINITY_DN1689_c1_g1</x:v>
      </x:c>
      <x:c r="C295" t="str">
        <x:v>Mul</x:v>
      </x:c>
      <x:c r="D295" t="n">
        <x:v>3</x:v>
      </x:c>
      <x:c r="E295" t="str">
        <x:v>Mul_mg3</x:v>
      </x:c>
      <x:c r="F295" s="17" t="n">
        <x:v>21.360155</x:v>
      </x:c>
    </x:row>
    <x:row r="296">
      <x:c r="A296" t="str">
        <x:v>UGT</x:v>
      </x:c>
      <x:c r="B296" t="str">
        <x:v>TRINITY_DN17113_c0_g1</x:v>
      </x:c>
      <x:c r="C296" t="str">
        <x:v>Dan</x:v>
      </x:c>
      <x:c r="D296" t="n">
        <x:v>1</x:v>
      </x:c>
      <x:c r="E296" t="str">
        <x:v>Dan_mg1</x:v>
      </x:c>
      <x:c r="F296" s="17" t="n">
        <x:v>9.654888</x:v>
      </x:c>
    </x:row>
    <x:row r="297">
      <x:c r="A297" t="str">
        <x:v>UGT</x:v>
      </x:c>
      <x:c r="B297" t="str">
        <x:v>TRINITY_DN17113_c0_g1</x:v>
      </x:c>
      <x:c r="C297" t="str">
        <x:v>Dan</x:v>
      </x:c>
      <x:c r="D297" t="n">
        <x:v>2</x:v>
      </x:c>
      <x:c r="E297" t="str">
        <x:v>Dan_mg2</x:v>
      </x:c>
      <x:c r="F297" s="17" t="n">
        <x:v>29.005478999999998</x:v>
      </x:c>
    </x:row>
    <x:row r="298">
      <x:c r="A298" t="str">
        <x:v>UGT</x:v>
      </x:c>
      <x:c r="B298" t="str">
        <x:v>TRINITY_DN17113_c0_g1</x:v>
      </x:c>
      <x:c r="C298" t="str">
        <x:v>Dan</x:v>
      </x:c>
      <x:c r="D298" t="n">
        <x:v>3</x:v>
      </x:c>
      <x:c r="E298" t="str">
        <x:v>Dan_mg3</x:v>
      </x:c>
      <x:c r="F298" s="17" t="n">
        <x:v>2.489756</x:v>
      </x:c>
    </x:row>
    <x:row r="299">
      <x:c r="A299" t="str">
        <x:v>UGT</x:v>
      </x:c>
      <x:c r="B299" t="str">
        <x:v>TRINITY_DN17113_c0_g1</x:v>
      </x:c>
      <x:c r="C299" t="str">
        <x:v>Mul</x:v>
      </x:c>
      <x:c r="D299" t="n">
        <x:v>1</x:v>
      </x:c>
      <x:c r="E299" t="str">
        <x:v>Mul_mg1</x:v>
      </x:c>
      <x:c r="F299" s="17" t="n">
        <x:v>12.190077</x:v>
      </x:c>
    </x:row>
    <x:row r="300">
      <x:c r="A300" t="str">
        <x:v>UGT</x:v>
      </x:c>
      <x:c r="B300" t="str">
        <x:v>TRINITY_DN17113_c0_g1</x:v>
      </x:c>
      <x:c r="C300" t="str">
        <x:v>Mul</x:v>
      </x:c>
      <x:c r="D300" t="n">
        <x:v>2</x:v>
      </x:c>
      <x:c r="E300" t="str">
        <x:v>Mul_mg2</x:v>
      </x:c>
      <x:c r="F300" s="17" t="n">
        <x:v>9.98659</x:v>
      </x:c>
    </x:row>
    <x:row r="301">
      <x:c r="A301" t="str">
        <x:v>UGT</x:v>
      </x:c>
      <x:c r="B301" t="str">
        <x:v>TRINITY_DN17113_c0_g1</x:v>
      </x:c>
      <x:c r="C301" t="str">
        <x:v>Mul</x:v>
      </x:c>
      <x:c r="D301" t="n">
        <x:v>3</x:v>
      </x:c>
      <x:c r="E301" t="str">
        <x:v>Mul_mg3</x:v>
      </x:c>
      <x:c r="F301" s="17" t="n">
        <x:v>5.387942</x:v>
      </x:c>
    </x:row>
    <x:row r="302">
      <x:c r="A302" t="str">
        <x:v>UGT</x:v>
      </x:c>
      <x:c r="B302" t="str">
        <x:v>TRINITY_DN18424_c0_g1</x:v>
      </x:c>
      <x:c r="C302" t="str">
        <x:v>Dan</x:v>
      </x:c>
      <x:c r="D302" t="n">
        <x:v>1</x:v>
      </x:c>
      <x:c r="E302" t="str">
        <x:v>Dan_mg1</x:v>
      </x:c>
      <x:c r="F302" s="17" t="n">
        <x:v>0.368825</x:v>
      </x:c>
    </x:row>
    <x:row r="303">
      <x:c r="A303" t="str">
        <x:v>UGT</x:v>
      </x:c>
      <x:c r="B303" t="str">
        <x:v>TRINITY_DN18424_c0_g1</x:v>
      </x:c>
      <x:c r="C303" t="str">
        <x:v>Dan</x:v>
      </x:c>
      <x:c r="D303" t="n">
        <x:v>2</x:v>
      </x:c>
      <x:c r="E303" t="str">
        <x:v>Dan_mg2</x:v>
      </x:c>
      <x:c r="F303" s="17" t="n">
        <x:v>0.093295</x:v>
      </x:c>
    </x:row>
    <x:row r="304">
      <x:c r="A304" t="str">
        <x:v>UGT</x:v>
      </x:c>
      <x:c r="B304" t="str">
        <x:v>TRINITY_DN18424_c0_g1</x:v>
      </x:c>
      <x:c r="C304" t="str">
        <x:v>Dan</x:v>
      </x:c>
      <x:c r="D304" t="n">
        <x:v>3</x:v>
      </x:c>
      <x:c r="E304" t="str">
        <x:v>Dan_mg3</x:v>
      </x:c>
      <x:c r="F304" s="17" t="n">
        <x:v>0.182206</x:v>
      </x:c>
    </x:row>
    <x:row r="305">
      <x:c r="A305" t="str">
        <x:v>UGT</x:v>
      </x:c>
      <x:c r="B305" t="str">
        <x:v>TRINITY_DN18424_c0_g1</x:v>
      </x:c>
      <x:c r="C305" t="str">
        <x:v>Mul</x:v>
      </x:c>
      <x:c r="D305" t="n">
        <x:v>1</x:v>
      </x:c>
      <x:c r="E305" t="str">
        <x:v>Mul_mg1</x:v>
      </x:c>
      <x:c r="F305" s="17" t="n">
        <x:v>0.083295</x:v>
      </x:c>
    </x:row>
    <x:row r="306">
      <x:c r="A306" t="str">
        <x:v>UGT</x:v>
      </x:c>
      <x:c r="B306" t="str">
        <x:v>TRINITY_DN18424_c0_g1</x:v>
      </x:c>
      <x:c r="C306" t="str">
        <x:v>Mul</x:v>
      </x:c>
      <x:c r="D306" t="n">
        <x:v>2</x:v>
      </x:c>
      <x:c r="E306" t="str">
        <x:v>Mul_mg2</x:v>
      </x:c>
      <x:c r="F306" s="17" t="n">
        <x:v>0.255039</x:v>
      </x:c>
    </x:row>
    <x:row r="307">
      <x:c r="A307" t="str">
        <x:v>UGT</x:v>
      </x:c>
      <x:c r="B307" t="str">
        <x:v>TRINITY_DN18424_c0_g1</x:v>
      </x:c>
      <x:c r="C307" t="str">
        <x:v>Mul</x:v>
      </x:c>
      <x:c r="D307" t="n">
        <x:v>3</x:v>
      </x:c>
      <x:c r="E307" t="str">
        <x:v>Mul_mg3</x:v>
      </x:c>
      <x:c r="F307" s="17" t="n">
        <x:v>0.277485</x:v>
      </x:c>
    </x:row>
    <x:row r="308">
      <x:c r="A308" t="str">
        <x:v>UGT</x:v>
      </x:c>
      <x:c r="B308" t="str">
        <x:v>TRINITY_DN20280_c0_g1</x:v>
      </x:c>
      <x:c r="C308" t="str">
        <x:v>Dan</x:v>
      </x:c>
      <x:c r="D308" t="n">
        <x:v>1</x:v>
      </x:c>
      <x:c r="E308" t="str">
        <x:v>Dan_mg1</x:v>
      </x:c>
      <x:c r="F308" s="17" t="n">
        <x:v>0.059255</x:v>
      </x:c>
    </x:row>
    <x:row r="309">
      <x:c r="A309" t="str">
        <x:v>UGT</x:v>
      </x:c>
      <x:c r="B309" t="str">
        <x:v>TRINITY_DN20280_c0_g1</x:v>
      </x:c>
      <x:c r="C309" t="str">
        <x:v>Dan</x:v>
      </x:c>
      <x:c r="D309" t="n">
        <x:v>2</x:v>
      </x:c>
      <x:c r="E309" t="str">
        <x:v>Dan_mg2</x:v>
      </x:c>
      <x:c r="F309" s="17" t="n">
        <x:v>0.635531</x:v>
      </x:c>
    </x:row>
    <x:row r="310">
      <x:c r="A310" t="str">
        <x:v>UGT</x:v>
      </x:c>
      <x:c r="B310" t="str">
        <x:v>TRINITY_DN20280_c0_g1</x:v>
      </x:c>
      <x:c r="C310" t="str">
        <x:v>Dan</x:v>
      </x:c>
      <x:c r="D310" t="n">
        <x:v>3</x:v>
      </x:c>
      <x:c r="E310" t="str">
        <x:v>Dan_mg3</x:v>
      </x:c>
      <x:c r="F310" s="17" t="n">
        <x:v>0.786593</x:v>
      </x:c>
    </x:row>
    <x:row r="311">
      <x:c r="A311" t="str">
        <x:v>UGT</x:v>
      </x:c>
      <x:c r="B311" t="str">
        <x:v>TRINITY_DN20280_c0_g1</x:v>
      </x:c>
      <x:c r="C311" t="str">
        <x:v>Mul</x:v>
      </x:c>
      <x:c r="D311" t="n">
        <x:v>1</x:v>
      </x:c>
      <x:c r="E311" t="str">
        <x:v>Mul_mg1</x:v>
      </x:c>
      <x:c r="F311" s="17" t="n">
        <x:v>1.558065</x:v>
      </x:c>
    </x:row>
    <x:row r="312">
      <x:c r="A312" t="str">
        <x:v>UGT</x:v>
      </x:c>
      <x:c r="B312" t="str">
        <x:v>TRINITY_DN20280_c0_g1</x:v>
      </x:c>
      <x:c r="C312" t="str">
        <x:v>Mul</x:v>
      </x:c>
      <x:c r="D312" t="n">
        <x:v>2</x:v>
      </x:c>
      <x:c r="E312" t="str">
        <x:v>Mul_mg2</x:v>
      </x:c>
      <x:c r="F312" s="17" t="n">
        <x:v>2.007727</x:v>
      </x:c>
    </x:row>
    <x:row r="313">
      <x:c r="A313" t="str">
        <x:v>UGT</x:v>
      </x:c>
      <x:c r="B313" t="str">
        <x:v>TRINITY_DN20280_c0_g1</x:v>
      </x:c>
      <x:c r="C313" t="str">
        <x:v>Mul</x:v>
      </x:c>
      <x:c r="D313" t="n">
        <x:v>3</x:v>
      </x:c>
      <x:c r="E313" t="str">
        <x:v>Mul_mg3</x:v>
      </x:c>
      <x:c r="F313" s="17" t="n">
        <x:v>0.523187</x:v>
      </x:c>
    </x:row>
    <x:row r="314">
      <x:c r="A314" t="str">
        <x:v>UGT</x:v>
      </x:c>
      <x:c r="B314" t="str">
        <x:v>TRINITY_DN20280_c1_g1</x:v>
      </x:c>
      <x:c r="C314" t="str">
        <x:v>Dan</x:v>
      </x:c>
      <x:c r="D314" t="n">
        <x:v>1</x:v>
      </x:c>
      <x:c r="E314" t="str">
        <x:v>Dan_mg1</x:v>
      </x:c>
      <x:c r="F314" s="17" t="n">
        <x:v>5.658831</x:v>
      </x:c>
    </x:row>
    <x:row r="315">
      <x:c r="A315" t="str">
        <x:v>UGT</x:v>
      </x:c>
      <x:c r="B315" t="str">
        <x:v>TRINITY_DN20280_c1_g1</x:v>
      </x:c>
      <x:c r="C315" t="str">
        <x:v>Dan</x:v>
      </x:c>
      <x:c r="D315" t="n">
        <x:v>2</x:v>
      </x:c>
      <x:c r="E315" t="str">
        <x:v>Dan_mg2</x:v>
      </x:c>
      <x:c r="F315" s="17" t="n">
        <x:v>9.306498000000001</x:v>
      </x:c>
    </x:row>
    <x:row r="316">
      <x:c r="A316" t="str">
        <x:v>UGT</x:v>
      </x:c>
      <x:c r="B316" t="str">
        <x:v>TRINITY_DN20280_c1_g1</x:v>
      </x:c>
      <x:c r="C316" t="str">
        <x:v>Dan</x:v>
      </x:c>
      <x:c r="D316" t="n">
        <x:v>3</x:v>
      </x:c>
      <x:c r="E316" t="str">
        <x:v>Dan_mg3</x:v>
      </x:c>
      <x:c r="F316" s="17" t="n">
        <x:v>4.218475</x:v>
      </x:c>
    </x:row>
    <x:row r="317">
      <x:c r="A317" t="str">
        <x:v>UGT</x:v>
      </x:c>
      <x:c r="B317" t="str">
        <x:v>TRINITY_DN20280_c1_g1</x:v>
      </x:c>
      <x:c r="C317" t="str">
        <x:v>Mul</x:v>
      </x:c>
      <x:c r="D317" t="n">
        <x:v>1</x:v>
      </x:c>
      <x:c r="E317" t="str">
        <x:v>Mul_mg1</x:v>
      </x:c>
      <x:c r="F317" s="17" t="n">
        <x:v>3.370591</x:v>
      </x:c>
    </x:row>
    <x:row r="318">
      <x:c r="A318" t="str">
        <x:v>UGT</x:v>
      </x:c>
      <x:c r="B318" t="str">
        <x:v>TRINITY_DN20280_c1_g1</x:v>
      </x:c>
      <x:c r="C318" t="str">
        <x:v>Mul</x:v>
      </x:c>
      <x:c r="D318" t="n">
        <x:v>2</x:v>
      </x:c>
      <x:c r="E318" t="str">
        <x:v>Mul_mg2</x:v>
      </x:c>
      <x:c r="F318" s="17" t="n">
        <x:v>2.78133</x:v>
      </x:c>
    </x:row>
    <x:row r="319">
      <x:c r="A319" t="str">
        <x:v>UGT</x:v>
      </x:c>
      <x:c r="B319" t="str">
        <x:v>TRINITY_DN20280_c1_g1</x:v>
      </x:c>
      <x:c r="C319" t="str">
        <x:v>Mul</x:v>
      </x:c>
      <x:c r="D319" t="n">
        <x:v>3</x:v>
      </x:c>
      <x:c r="E319" t="str">
        <x:v>Mul_mg3</x:v>
      </x:c>
      <x:c r="F319" s="17" t="n">
        <x:v>1.9501959999999998</x:v>
      </x:c>
    </x:row>
    <x:row r="320">
      <x:c r="A320" t="str">
        <x:v>UGT</x:v>
      </x:c>
      <x:c r="B320" t="str">
        <x:v>TRINITY_DN21024_c0_g1</x:v>
      </x:c>
      <x:c r="C320" t="str">
        <x:v>Dan</x:v>
      </x:c>
      <x:c r="D320" t="n">
        <x:v>1</x:v>
      </x:c>
      <x:c r="E320" t="str">
        <x:v>Dan_mg1</x:v>
      </x:c>
      <x:c r="F320" s="17" t="n">
        <x:v>0.21420499999999998</x:v>
      </x:c>
    </x:row>
    <x:row r="321">
      <x:c r="A321" t="str">
        <x:v>UGT</x:v>
      </x:c>
      <x:c r="B321" t="str">
        <x:v>TRINITY_DN21024_c0_g1</x:v>
      </x:c>
      <x:c r="C321" t="str">
        <x:v>Dan</x:v>
      </x:c>
      <x:c r="D321" t="n">
        <x:v>2</x:v>
      </x:c>
      <x:c r="E321" t="str">
        <x:v>Dan_mg2</x:v>
      </x:c>
      <x:c r="F321" s="17" t="n">
        <x:v>0.121119</x:v>
      </x:c>
    </x:row>
    <x:row r="322">
      <x:c r="A322" t="str">
        <x:v>UGT</x:v>
      </x:c>
      <x:c r="B322" t="str">
        <x:v>TRINITY_DN21024_c0_g1</x:v>
      </x:c>
      <x:c r="C322" t="str">
        <x:v>Dan</x:v>
      </x:c>
      <x:c r="D322" t="n">
        <x:v>3</x:v>
      </x:c>
      <x:c r="E322" t="str">
        <x:v>Dan_mg3</x:v>
      </x:c>
      <x:c r="F322" s="17" t="n">
        <x:v>0.037355</x:v>
      </x:c>
    </x:row>
    <x:row r="323">
      <x:c r="A323" t="str">
        <x:v>UGT</x:v>
      </x:c>
      <x:c r="B323" t="str">
        <x:v>TRINITY_DN21024_c0_g1</x:v>
      </x:c>
      <x:c r="C323" t="str">
        <x:v>Mul</x:v>
      </x:c>
      <x:c r="D323" t="n">
        <x:v>1</x:v>
      </x:c>
      <x:c r="E323" t="str">
        <x:v>Mul_mg1</x:v>
      </x:c>
      <x:c r="F323" s="17" t="n">
        <x:v>0.281326</x:v>
      </x:c>
    </x:row>
    <x:row r="324">
      <x:c r="A324" t="str">
        <x:v>UGT</x:v>
      </x:c>
      <x:c r="B324" t="str">
        <x:v>TRINITY_DN21024_c0_g1</x:v>
      </x:c>
      <x:c r="C324" t="str">
        <x:v>Mul</x:v>
      </x:c>
      <x:c r="D324" t="n">
        <x:v>2</x:v>
      </x:c>
      <x:c r="E324" t="str">
        <x:v>Mul_mg2</x:v>
      </x:c>
      <x:c r="F324" s="17" t="n">
        <x:v>0.056718</x:v>
      </x:c>
    </x:row>
    <x:row r="325">
      <x:c r="A325" t="str">
        <x:v>UGT</x:v>
      </x:c>
      <x:c r="B325" t="str">
        <x:v>TRINITY_DN21024_c0_g1</x:v>
      </x:c>
      <x:c r="C325" t="str">
        <x:v>Mul</x:v>
      </x:c>
      <x:c r="D325" t="n">
        <x:v>3</x:v>
      </x:c>
      <x:c r="E325" t="str">
        <x:v>Mul_mg3</x:v>
      </x:c>
      <x:c r="F325" s="17" t="n">
        <x:v>0.096835</x:v>
      </x:c>
    </x:row>
    <x:row r="326">
      <x:c r="A326" t="str">
        <x:v>UGT</x:v>
      </x:c>
      <x:c r="B326" t="str">
        <x:v>TRINITY_DN2328_c0_g1</x:v>
      </x:c>
      <x:c r="C326" t="str">
        <x:v>Dan</x:v>
      </x:c>
      <x:c r="D326" t="n">
        <x:v>1</x:v>
      </x:c>
      <x:c r="E326" t="str">
        <x:v>Dan_mg1</x:v>
      </x:c>
      <x:c r="F326" s="17" t="n">
        <x:v>1.776133</x:v>
      </x:c>
    </x:row>
    <x:row r="327">
      <x:c r="A327" t="str">
        <x:v>UGT</x:v>
      </x:c>
      <x:c r="B327" t="str">
        <x:v>TRINITY_DN2328_c0_g1</x:v>
      </x:c>
      <x:c r="C327" t="str">
        <x:v>Dan</x:v>
      </x:c>
      <x:c r="D327" t="n">
        <x:v>2</x:v>
      </x:c>
      <x:c r="E327" t="str">
        <x:v>Dan_mg2</x:v>
      </x:c>
      <x:c r="F327" s="17" t="n">
        <x:v>3.1264279999999998</x:v>
      </x:c>
    </x:row>
    <x:row r="328">
      <x:c r="A328" t="str">
        <x:v>UGT</x:v>
      </x:c>
      <x:c r="B328" t="str">
        <x:v>TRINITY_DN2328_c0_g1</x:v>
      </x:c>
      <x:c r="C328" t="str">
        <x:v>Dan</x:v>
      </x:c>
      <x:c r="D328" t="n">
        <x:v>3</x:v>
      </x:c>
      <x:c r="E328" t="str">
        <x:v>Dan_mg3</x:v>
      </x:c>
      <x:c r="F328" s="17" t="n">
        <x:v>1.2443469999999999</x:v>
      </x:c>
    </x:row>
    <x:row r="329">
      <x:c r="A329" t="str">
        <x:v>UGT</x:v>
      </x:c>
      <x:c r="B329" t="str">
        <x:v>TRINITY_DN2328_c0_g1</x:v>
      </x:c>
      <x:c r="C329" t="str">
        <x:v>Mul</x:v>
      </x:c>
      <x:c r="D329" t="n">
        <x:v>1</x:v>
      </x:c>
      <x:c r="E329" t="str">
        <x:v>Mul_mg1</x:v>
      </x:c>
      <x:c r="F329" s="17" t="n">
        <x:v>3.89707</x:v>
      </x:c>
    </x:row>
    <x:row r="330">
      <x:c r="A330" t="str">
        <x:v>UGT</x:v>
      </x:c>
      <x:c r="B330" t="str">
        <x:v>TRINITY_DN2328_c0_g1</x:v>
      </x:c>
      <x:c r="C330" t="str">
        <x:v>Mul</x:v>
      </x:c>
      <x:c r="D330" t="n">
        <x:v>2</x:v>
      </x:c>
      <x:c r="E330" t="str">
        <x:v>Mul_mg2</x:v>
      </x:c>
      <x:c r="F330" s="17" t="n">
        <x:v>5.439541</x:v>
      </x:c>
    </x:row>
    <x:row r="331">
      <x:c r="A331" t="str">
        <x:v>UGT</x:v>
      </x:c>
      <x:c r="B331" t="str">
        <x:v>TRINITY_DN2328_c0_g1</x:v>
      </x:c>
      <x:c r="C331" t="str">
        <x:v>Mul</x:v>
      </x:c>
      <x:c r="D331" t="n">
        <x:v>3</x:v>
      </x:c>
      <x:c r="E331" t="str">
        <x:v>Mul_mg3</x:v>
      </x:c>
      <x:c r="F331" s="17" t="n">
        <x:v>4.151612</x:v>
      </x:c>
    </x:row>
    <x:row r="332">
      <x:c r="A332" t="str">
        <x:v>UGT</x:v>
      </x:c>
      <x:c r="B332" t="str">
        <x:v>TRINITY_DN2332_c0_g1</x:v>
      </x:c>
      <x:c r="C332" t="str">
        <x:v>Dan</x:v>
      </x:c>
      <x:c r="D332" t="n">
        <x:v>1</x:v>
      </x:c>
      <x:c r="E332" t="str">
        <x:v>Dan_mg1</x:v>
      </x:c>
      <x:c r="F332" s="17" t="n">
        <x:v>0.37447199999999997</x:v>
      </x:c>
    </x:row>
    <x:row r="333">
      <x:c r="A333" t="str">
        <x:v>UGT</x:v>
      </x:c>
      <x:c r="B333" t="str">
        <x:v>TRINITY_DN2332_c0_g1</x:v>
      </x:c>
      <x:c r="C333" t="str">
        <x:v>Dan</x:v>
      </x:c>
      <x:c r="D333" t="n">
        <x:v>2</x:v>
      </x:c>
      <x:c r="E333" t="str">
        <x:v>Dan_mg2</x:v>
      </x:c>
      <x:c r="F333" s="17" t="n">
        <x:v>0.875033</x:v>
      </x:c>
    </x:row>
    <x:row r="334">
      <x:c r="A334" t="str">
        <x:v>UGT</x:v>
      </x:c>
      <x:c r="B334" t="str">
        <x:v>TRINITY_DN2332_c0_g1</x:v>
      </x:c>
      <x:c r="C334" t="str">
        <x:v>Dan</x:v>
      </x:c>
      <x:c r="D334" t="n">
        <x:v>3</x:v>
      </x:c>
      <x:c r="E334" t="str">
        <x:v>Dan_mg3</x:v>
      </x:c>
      <x:c r="F334" s="17" t="n">
        <x:v>1.089035</x:v>
      </x:c>
    </x:row>
    <x:row r="335">
      <x:c r="A335" t="str">
        <x:v>UGT</x:v>
      </x:c>
      <x:c r="B335" t="str">
        <x:v>TRINITY_DN2332_c0_g1</x:v>
      </x:c>
      <x:c r="C335" t="str">
        <x:v>Mul</x:v>
      </x:c>
      <x:c r="D335" t="n">
        <x:v>1</x:v>
      </x:c>
      <x:c r="E335" t="str">
        <x:v>Mul_mg1</x:v>
      </x:c>
      <x:c r="F335" s="17" t="n">
        <x:v>2.1118669999999997</x:v>
      </x:c>
    </x:row>
    <x:row r="336">
      <x:c r="A336" t="str">
        <x:v>UGT</x:v>
      </x:c>
      <x:c r="B336" t="str">
        <x:v>TRINITY_DN2332_c0_g1</x:v>
      </x:c>
      <x:c r="C336" t="str">
        <x:v>Mul</x:v>
      </x:c>
      <x:c r="D336" t="n">
        <x:v>2</x:v>
      </x:c>
      <x:c r="E336" t="str">
        <x:v>Mul_mg2</x:v>
      </x:c>
      <x:c r="F336" s="17" t="n">
        <x:v>1.700726</x:v>
      </x:c>
    </x:row>
    <x:row r="337">
      <x:c r="A337" t="str">
        <x:v>UGT</x:v>
      </x:c>
      <x:c r="B337" t="str">
        <x:v>TRINITY_DN2332_c0_g1</x:v>
      </x:c>
      <x:c r="C337" t="str">
        <x:v>Mul</x:v>
      </x:c>
      <x:c r="D337" t="n">
        <x:v>3</x:v>
      </x:c>
      <x:c r="E337" t="str">
        <x:v>Mul_mg3</x:v>
      </x:c>
      <x:c r="F337" s="17" t="n">
        <x:v>1.204294</x:v>
      </x:c>
    </x:row>
    <x:row r="338">
      <x:c r="A338" t="str">
        <x:v>UGT</x:v>
      </x:c>
      <x:c r="B338" t="str">
        <x:v>TRINITY_DN243_c0_g1</x:v>
      </x:c>
      <x:c r="C338" t="str">
        <x:v>Dan</x:v>
      </x:c>
      <x:c r="D338" t="n">
        <x:v>1</x:v>
      </x:c>
      <x:c r="E338" t="str">
        <x:v>Dan_mg1</x:v>
      </x:c>
      <x:c r="F338" s="17" t="n">
        <x:v>7.2975710000000005</x:v>
      </x:c>
    </x:row>
    <x:row r="339">
      <x:c r="A339" t="str">
        <x:v>UGT</x:v>
      </x:c>
      <x:c r="B339" t="str">
        <x:v>TRINITY_DN243_c0_g1</x:v>
      </x:c>
      <x:c r="C339" t="str">
        <x:v>Dan</x:v>
      </x:c>
      <x:c r="D339" t="n">
        <x:v>2</x:v>
      </x:c>
      <x:c r="E339" t="str">
        <x:v>Dan_mg2</x:v>
      </x:c>
      <x:c r="F339" s="17" t="n">
        <x:v>15.196076999999999</x:v>
      </x:c>
    </x:row>
    <x:row r="340">
      <x:c r="A340" t="str">
        <x:v>UGT</x:v>
      </x:c>
      <x:c r="B340" t="str">
        <x:v>TRINITY_DN243_c0_g1</x:v>
      </x:c>
      <x:c r="C340" t="str">
        <x:v>Dan</x:v>
      </x:c>
      <x:c r="D340" t="n">
        <x:v>3</x:v>
      </x:c>
      <x:c r="E340" t="str">
        <x:v>Dan_mg3</x:v>
      </x:c>
      <x:c r="F340" s="17" t="n">
        <x:v>7.986296</x:v>
      </x:c>
    </x:row>
    <x:row r="341">
      <x:c r="A341" t="str">
        <x:v>UGT</x:v>
      </x:c>
      <x:c r="B341" t="str">
        <x:v>TRINITY_DN243_c0_g1</x:v>
      </x:c>
      <x:c r="C341" t="str">
        <x:v>Mul</x:v>
      </x:c>
      <x:c r="D341" t="n">
        <x:v>1</x:v>
      </x:c>
      <x:c r="E341" t="str">
        <x:v>Mul_mg1</x:v>
      </x:c>
      <x:c r="F341" s="17" t="n">
        <x:v>11.984983</x:v>
      </x:c>
    </x:row>
    <x:row r="342">
      <x:c r="A342" t="str">
        <x:v>UGT</x:v>
      </x:c>
      <x:c r="B342" t="str">
        <x:v>TRINITY_DN243_c0_g1</x:v>
      </x:c>
      <x:c r="C342" t="str">
        <x:v>Mul</x:v>
      </x:c>
      <x:c r="D342" t="n">
        <x:v>2</x:v>
      </x:c>
      <x:c r="E342" t="str">
        <x:v>Mul_mg2</x:v>
      </x:c>
      <x:c r="F342" s="17" t="n">
        <x:v>10.213438</x:v>
      </x:c>
    </x:row>
    <x:row r="343">
      <x:c r="A343" t="str">
        <x:v>UGT</x:v>
      </x:c>
      <x:c r="B343" t="str">
        <x:v>TRINITY_DN243_c0_g1</x:v>
      </x:c>
      <x:c r="C343" t="str">
        <x:v>Mul</x:v>
      </x:c>
      <x:c r="D343" t="n">
        <x:v>3</x:v>
      </x:c>
      <x:c r="E343" t="str">
        <x:v>Mul_mg3</x:v>
      </x:c>
      <x:c r="F343" s="17" t="n">
        <x:v>6.244917999999999</x:v>
      </x:c>
    </x:row>
    <x:row r="344">
      <x:c r="A344" t="str">
        <x:v>UGT</x:v>
      </x:c>
      <x:c r="B344" t="str">
        <x:v>TRINITY_DN28473_c0_g1</x:v>
      </x:c>
      <x:c r="C344" t="str">
        <x:v>Dan</x:v>
      </x:c>
      <x:c r="D344" t="n">
        <x:v>1</x:v>
      </x:c>
      <x:c r="E344" t="str">
        <x:v>Dan_mg1</x:v>
      </x:c>
      <x:c r="F344" s="17" t="n">
        <x:v>18.415325000000003</x:v>
      </x:c>
    </x:row>
    <x:row r="345">
      <x:c r="A345" t="str">
        <x:v>UGT</x:v>
      </x:c>
      <x:c r="B345" t="str">
        <x:v>TRINITY_DN28473_c0_g1</x:v>
      </x:c>
      <x:c r="C345" t="str">
        <x:v>Dan</x:v>
      </x:c>
      <x:c r="D345" t="n">
        <x:v>2</x:v>
      </x:c>
      <x:c r="E345" t="str">
        <x:v>Dan_mg2</x:v>
      </x:c>
      <x:c r="F345" s="17" t="n">
        <x:v>23.091063000000002</x:v>
      </x:c>
    </x:row>
    <x:row r="346">
      <x:c r="A346" t="str">
        <x:v>UGT</x:v>
      </x:c>
      <x:c r="B346" t="str">
        <x:v>TRINITY_DN28473_c0_g1</x:v>
      </x:c>
      <x:c r="C346" t="str">
        <x:v>Dan</x:v>
      </x:c>
      <x:c r="D346" t="n">
        <x:v>3</x:v>
      </x:c>
      <x:c r="E346" t="str">
        <x:v>Dan_mg3</x:v>
      </x:c>
      <x:c r="F346" s="17" t="n">
        <x:v>10.722594</x:v>
      </x:c>
    </x:row>
    <x:row r="347">
      <x:c r="A347" t="str">
        <x:v>UGT</x:v>
      </x:c>
      <x:c r="B347" t="str">
        <x:v>TRINITY_DN28473_c0_g1</x:v>
      </x:c>
      <x:c r="C347" t="str">
        <x:v>Mul</x:v>
      </x:c>
      <x:c r="D347" t="n">
        <x:v>1</x:v>
      </x:c>
      <x:c r="E347" t="str">
        <x:v>Mul_mg1</x:v>
      </x:c>
      <x:c r="F347" s="17" t="n">
        <x:v>27.299452000000002</x:v>
      </x:c>
    </x:row>
    <x:row r="348">
      <x:c r="A348" t="str">
        <x:v>UGT</x:v>
      </x:c>
      <x:c r="B348" t="str">
        <x:v>TRINITY_DN28473_c0_g1</x:v>
      </x:c>
      <x:c r="C348" t="str">
        <x:v>Mul</x:v>
      </x:c>
      <x:c r="D348" t="n">
        <x:v>2</x:v>
      </x:c>
      <x:c r="E348" t="str">
        <x:v>Mul_mg2</x:v>
      </x:c>
      <x:c r="F348" s="17" t="n">
        <x:v>32.262144</x:v>
      </x:c>
    </x:row>
    <x:row r="349">
      <x:c r="A349" t="str">
        <x:v>UGT</x:v>
      </x:c>
      <x:c r="B349" t="str">
        <x:v>TRINITY_DN28473_c0_g1</x:v>
      </x:c>
      <x:c r="C349" t="str">
        <x:v>Mul</x:v>
      </x:c>
      <x:c r="D349" t="n">
        <x:v>3</x:v>
      </x:c>
      <x:c r="E349" t="str">
        <x:v>Mul_mg3</x:v>
      </x:c>
      <x:c r="F349" s="17" t="n">
        <x:v>31.388655</x:v>
      </x:c>
    </x:row>
    <x:row r="350">
      <x:c r="A350" t="str">
        <x:v>UGT</x:v>
      </x:c>
      <x:c r="B350" t="str">
        <x:v>TRINITY_DN3225_c0_g1</x:v>
      </x:c>
      <x:c r="C350" t="str">
        <x:v>Dan</x:v>
      </x:c>
      <x:c r="D350" t="n">
        <x:v>1</x:v>
      </x:c>
      <x:c r="E350" t="str">
        <x:v>Dan_mg1</x:v>
      </x:c>
      <x:c r="F350" s="17" t="n">
        <x:v>6.0947189999999996</x:v>
      </x:c>
    </x:row>
    <x:row r="351">
      <x:c r="A351" t="str">
        <x:v>UGT</x:v>
      </x:c>
      <x:c r="B351" t="str">
        <x:v>TRINITY_DN3225_c0_g1</x:v>
      </x:c>
      <x:c r="C351" t="str">
        <x:v>Dan</x:v>
      </x:c>
      <x:c r="D351" t="n">
        <x:v>2</x:v>
      </x:c>
      <x:c r="E351" t="str">
        <x:v>Dan_mg2</x:v>
      </x:c>
      <x:c r="F351" s="17" t="n">
        <x:v>8.354085</x:v>
      </x:c>
    </x:row>
    <x:row r="352">
      <x:c r="A352" t="str">
        <x:v>UGT</x:v>
      </x:c>
      <x:c r="B352" t="str">
        <x:v>TRINITY_DN3225_c0_g1</x:v>
      </x:c>
      <x:c r="C352" t="str">
        <x:v>Dan</x:v>
      </x:c>
      <x:c r="D352" t="n">
        <x:v>3</x:v>
      </x:c>
      <x:c r="E352" t="str">
        <x:v>Dan_mg3</x:v>
      </x:c>
      <x:c r="F352" s="17" t="n">
        <x:v>3.221646</x:v>
      </x:c>
    </x:row>
    <x:row r="353">
      <x:c r="A353" t="str">
        <x:v>UGT</x:v>
      </x:c>
      <x:c r="B353" t="str">
        <x:v>TRINITY_DN3225_c0_g1</x:v>
      </x:c>
      <x:c r="C353" t="str">
        <x:v>Mul</x:v>
      </x:c>
      <x:c r="D353" t="n">
        <x:v>1</x:v>
      </x:c>
      <x:c r="E353" t="str">
        <x:v>Mul_mg1</x:v>
      </x:c>
      <x:c r="F353" s="17" t="n">
        <x:v>11.565831000000001</x:v>
      </x:c>
    </x:row>
    <x:row r="354">
      <x:c r="A354" t="str">
        <x:v>UGT</x:v>
      </x:c>
      <x:c r="B354" t="str">
        <x:v>TRINITY_DN3225_c0_g1</x:v>
      </x:c>
      <x:c r="C354" t="str">
        <x:v>Mul</x:v>
      </x:c>
      <x:c r="D354" t="n">
        <x:v>2</x:v>
      </x:c>
      <x:c r="E354" t="str">
        <x:v>Mul_mg2</x:v>
      </x:c>
      <x:c r="F354" s="17" t="n">
        <x:v>12.629284</x:v>
      </x:c>
    </x:row>
    <x:row r="355">
      <x:c r="A355" t="str">
        <x:v>UGT</x:v>
      </x:c>
      <x:c r="B355" t="str">
        <x:v>TRINITY_DN3225_c0_g1</x:v>
      </x:c>
      <x:c r="C355" t="str">
        <x:v>Mul</x:v>
      </x:c>
      <x:c r="D355" t="n">
        <x:v>3</x:v>
      </x:c>
      <x:c r="E355" t="str">
        <x:v>Mul_mg3</x:v>
      </x:c>
      <x:c r="F355" s="17" t="n">
        <x:v>14.98264</x:v>
      </x:c>
    </x:row>
    <x:row r="356">
      <x:c r="A356" t="str">
        <x:v>UGT</x:v>
      </x:c>
      <x:c r="B356" t="str">
        <x:v>TRINITY_DN3269_c0_g1</x:v>
      </x:c>
      <x:c r="C356" t="str">
        <x:v>Dan</x:v>
      </x:c>
      <x:c r="D356" t="n">
        <x:v>1</x:v>
      </x:c>
      <x:c r="E356" t="str">
        <x:v>Dan_mg1</x:v>
      </x:c>
      <x:c r="F356" s="17" t="n">
        <x:v>0.827584</x:v>
      </x:c>
    </x:row>
    <x:row r="357">
      <x:c r="A357" t="str">
        <x:v>UGT</x:v>
      </x:c>
      <x:c r="B357" t="str">
        <x:v>TRINITY_DN3269_c0_g1</x:v>
      </x:c>
      <x:c r="C357" t="str">
        <x:v>Dan</x:v>
      </x:c>
      <x:c r="D357" t="n">
        <x:v>2</x:v>
      </x:c>
      <x:c r="E357" t="str">
        <x:v>Dan_mg2</x:v>
      </x:c>
      <x:c r="F357" s="17" t="n">
        <x:v>4.857129</x:v>
      </x:c>
    </x:row>
    <x:row r="358">
      <x:c r="A358" t="str">
        <x:v>UGT</x:v>
      </x:c>
      <x:c r="B358" t="str">
        <x:v>TRINITY_DN3269_c0_g1</x:v>
      </x:c>
      <x:c r="C358" t="str">
        <x:v>Dan</x:v>
      </x:c>
      <x:c r="D358" t="n">
        <x:v>3</x:v>
      </x:c>
      <x:c r="E358" t="str">
        <x:v>Dan_mg3</x:v>
      </x:c>
      <x:c r="F358" s="17" t="n">
        <x:v>2.404615</x:v>
      </x:c>
    </x:row>
    <x:row r="359">
      <x:c r="A359" t="str">
        <x:v>UGT</x:v>
      </x:c>
      <x:c r="B359" t="str">
        <x:v>TRINITY_DN3269_c0_g1</x:v>
      </x:c>
      <x:c r="C359" t="str">
        <x:v>Mul</x:v>
      </x:c>
      <x:c r="D359" t="n">
        <x:v>1</x:v>
      </x:c>
      <x:c r="E359" t="str">
        <x:v>Mul_mg1</x:v>
      </x:c>
      <x:c r="F359" s="17" t="n">
        <x:v>5.004505</x:v>
      </x:c>
    </x:row>
    <x:row r="360">
      <x:c r="A360" t="str">
        <x:v>UGT</x:v>
      </x:c>
      <x:c r="B360" t="str">
        <x:v>TRINITY_DN3269_c0_g1</x:v>
      </x:c>
      <x:c r="C360" t="str">
        <x:v>Mul</x:v>
      </x:c>
      <x:c r="D360" t="n">
        <x:v>2</x:v>
      </x:c>
      <x:c r="E360" t="str">
        <x:v>Mul_mg2</x:v>
      </x:c>
      <x:c r="F360" s="17" t="n">
        <x:v>3.596346</x:v>
      </x:c>
    </x:row>
    <x:row r="361">
      <x:c r="A361" t="str">
        <x:v>UGT</x:v>
      </x:c>
      <x:c r="B361" t="str">
        <x:v>TRINITY_DN3269_c0_g1</x:v>
      </x:c>
      <x:c r="C361" t="str">
        <x:v>Mul</x:v>
      </x:c>
      <x:c r="D361" t="n">
        <x:v>3</x:v>
      </x:c>
      <x:c r="E361" t="str">
        <x:v>Mul_mg3</x:v>
      </x:c>
      <x:c r="F361" s="17" t="n">
        <x:v>2.7421499999999996</x:v>
      </x:c>
    </x:row>
    <x:row r="362">
      <x:c r="A362" t="str">
        <x:v>UGT</x:v>
      </x:c>
      <x:c r="B362" t="str">
        <x:v>TRINITY_DN37939_c0_g1</x:v>
      </x:c>
      <x:c r="C362" t="str">
        <x:v>Dan</x:v>
      </x:c>
      <x:c r="D362" t="n">
        <x:v>1</x:v>
      </x:c>
      <x:c r="E362" t="str">
        <x:v>Dan_mg1</x:v>
      </x:c>
      <x:c r="F362" s="17" t="n">
        <x:v>0</x:v>
      </x:c>
    </x:row>
    <x:row r="363">
      <x:c r="A363" t="str">
        <x:v>UGT</x:v>
      </x:c>
      <x:c r="B363" t="str">
        <x:v>TRINITY_DN37939_c0_g1</x:v>
      </x:c>
      <x:c r="C363" t="str">
        <x:v>Dan</x:v>
      </x:c>
      <x:c r="D363" t="n">
        <x:v>2</x:v>
      </x:c>
      <x:c r="E363" t="str">
        <x:v>Dan_mg2</x:v>
      </x:c>
      <x:c r="F363" s="17" t="n">
        <x:v>0.11529</x:v>
      </x:c>
    </x:row>
    <x:row r="364">
      <x:c r="A364" t="str">
        <x:v>UGT</x:v>
      </x:c>
      <x:c r="B364" t="str">
        <x:v>TRINITY_DN37939_c0_g1</x:v>
      </x:c>
      <x:c r="C364" t="str">
        <x:v>Dan</x:v>
      </x:c>
      <x:c r="D364" t="n">
        <x:v>3</x:v>
      </x:c>
      <x:c r="E364" t="str">
        <x:v>Dan_mg3</x:v>
      </x:c>
      <x:c r="F364" s="17" t="n">
        <x:v>0</x:v>
      </x:c>
    </x:row>
    <x:row r="365">
      <x:c r="A365" t="str">
        <x:v>UGT</x:v>
      </x:c>
      <x:c r="B365" t="str">
        <x:v>TRINITY_DN37939_c0_g1</x:v>
      </x:c>
      <x:c r="C365" t="str">
        <x:v>Mul</x:v>
      </x:c>
      <x:c r="D365" t="n">
        <x:v>1</x:v>
      </x:c>
      <x:c r="E365" t="str">
        <x:v>Mul_mg1</x:v>
      </x:c>
      <x:c r="F365" s="17" t="n">
        <x:v>0.584784</x:v>
      </x:c>
    </x:row>
    <x:row r="366">
      <x:c r="A366" t="str">
        <x:v>UGT</x:v>
      </x:c>
      <x:c r="B366" t="str">
        <x:v>TRINITY_DN37939_c0_g1</x:v>
      </x:c>
      <x:c r="C366" t="str">
        <x:v>Mul</x:v>
      </x:c>
      <x:c r="D366" t="n">
        <x:v>2</x:v>
      </x:c>
      <x:c r="E366" t="str">
        <x:v>Mul_mg2</x:v>
      </x:c>
      <x:c r="F366" s="17" t="n">
        <x:v>0.178017</x:v>
      </x:c>
    </x:row>
    <x:row r="367">
      <x:c r="A367" t="str">
        <x:v>UGT</x:v>
      </x:c>
      <x:c r="B367" t="str">
        <x:v>TRINITY_DN37939_c0_g1</x:v>
      </x:c>
      <x:c r="C367" t="str">
        <x:v>Mul</x:v>
      </x:c>
      <x:c r="D367" t="n">
        <x:v>3</x:v>
      </x:c>
      <x:c r="E367" t="str">
        <x:v>Mul_mg3</x:v>
      </x:c>
      <x:c r="F367" s="17" t="n">
        <x:v>0</x:v>
      </x:c>
    </x:row>
    <x:row r="368">
      <x:c r="A368" t="str">
        <x:v>UGT</x:v>
      </x:c>
      <x:c r="B368" t="str">
        <x:v>TRINITY_DN38523_c0_g1</x:v>
      </x:c>
      <x:c r="C368" t="str">
        <x:v>Dan</x:v>
      </x:c>
      <x:c r="D368" t="n">
        <x:v>1</x:v>
      </x:c>
      <x:c r="E368" t="str">
        <x:v>Dan_mg1</x:v>
      </x:c>
      <x:c r="F368" s="17" t="n">
        <x:v>0.129397</x:v>
      </x:c>
    </x:row>
    <x:row r="369">
      <x:c r="A369" t="str">
        <x:v>UGT</x:v>
      </x:c>
      <x:c r="B369" t="str">
        <x:v>TRINITY_DN38523_c0_g1</x:v>
      </x:c>
      <x:c r="C369" t="str">
        <x:v>Dan</x:v>
      </x:c>
      <x:c r="D369" t="n">
        <x:v>2</x:v>
      </x:c>
      <x:c r="E369" t="str">
        <x:v>Dan_mg2</x:v>
      </x:c>
      <x:c r="F369" s="17" t="n">
        <x:v>0</x:v>
      </x:c>
    </x:row>
    <x:row r="370">
      <x:c r="A370" t="str">
        <x:v>UGT</x:v>
      </x:c>
      <x:c r="B370" t="str">
        <x:v>TRINITY_DN38523_c0_g1</x:v>
      </x:c>
      <x:c r="C370" t="str">
        <x:v>Dan</x:v>
      </x:c>
      <x:c r="D370" t="n">
        <x:v>3</x:v>
      </x:c>
      <x:c r="E370" t="str">
        <x:v>Dan_mg3</x:v>
      </x:c>
      <x:c r="F370" s="17" t="n">
        <x:v>0</x:v>
      </x:c>
    </x:row>
    <x:row r="371">
      <x:c r="A371" t="str">
        <x:v>UGT</x:v>
      </x:c>
      <x:c r="B371" t="str">
        <x:v>TRINITY_DN38523_c0_g1</x:v>
      </x:c>
      <x:c r="C371" t="str">
        <x:v>Mul</x:v>
      </x:c>
      <x:c r="D371" t="n">
        <x:v>1</x:v>
      </x:c>
      <x:c r="E371" t="str">
        <x:v>Mul_mg1</x:v>
      </x:c>
      <x:c r="F371" s="17" t="n">
        <x:v>0.460268</x:v>
      </x:c>
    </x:row>
    <x:row r="372">
      <x:c r="A372" t="str">
        <x:v>UGT</x:v>
      </x:c>
      <x:c r="B372" t="str">
        <x:v>TRINITY_DN38523_c0_g1</x:v>
      </x:c>
      <x:c r="C372" t="str">
        <x:v>Mul</x:v>
      </x:c>
      <x:c r="D372" t="n">
        <x:v>2</x:v>
      </x:c>
      <x:c r="E372" t="str">
        <x:v>Mul_mg2</x:v>
      </x:c>
      <x:c r="F372" s="17" t="n">
        <x:v>0.086072</x:v>
      </x:c>
    </x:row>
    <x:row r="373">
      <x:c r="A373" t="str">
        <x:v>UGT</x:v>
      </x:c>
      <x:c r="B373" t="str">
        <x:v>TRINITY_DN38523_c0_g1</x:v>
      </x:c>
      <x:c r="C373" t="str">
        <x:v>Mul</x:v>
      </x:c>
      <x:c r="D373" t="n">
        <x:v>3</x:v>
      </x:c>
      <x:c r="E373" t="str">
        <x:v>Mul_mg3</x:v>
      </x:c>
      <x:c r="F373" s="17" t="n">
        <x:v>0</x:v>
      </x:c>
    </x:row>
    <x:row r="374">
      <x:c r="A374" t="str">
        <x:v>UGT</x:v>
      </x:c>
      <x:c r="B374" t="str">
        <x:v>TRINITY_DN39303_c0_g1</x:v>
      </x:c>
      <x:c r="C374" t="str">
        <x:v>Dan</x:v>
      </x:c>
      <x:c r="D374" t="n">
        <x:v>1</x:v>
      </x:c>
      <x:c r="E374" t="str">
        <x:v>Dan_mg1</x:v>
      </x:c>
      <x:c r="F374" s="17" t="n">
        <x:v>0.472639</x:v>
      </x:c>
    </x:row>
    <x:row r="375">
      <x:c r="A375" t="str">
        <x:v>UGT</x:v>
      </x:c>
      <x:c r="B375" t="str">
        <x:v>TRINITY_DN39303_c0_g1</x:v>
      </x:c>
      <x:c r="C375" t="str">
        <x:v>Dan</x:v>
      </x:c>
      <x:c r="D375" t="n">
        <x:v>2</x:v>
      </x:c>
      <x:c r="E375" t="str">
        <x:v>Dan_mg2</x:v>
      </x:c>
      <x:c r="F375" s="17" t="n">
        <x:v>1.316953</x:v>
      </x:c>
    </x:row>
    <x:row r="376">
      <x:c r="A376" t="str">
        <x:v>UGT</x:v>
      </x:c>
      <x:c r="B376" t="str">
        <x:v>TRINITY_DN39303_c0_g1</x:v>
      </x:c>
      <x:c r="C376" t="str">
        <x:v>Dan</x:v>
      </x:c>
      <x:c r="D376" t="n">
        <x:v>3</x:v>
      </x:c>
      <x:c r="E376" t="str">
        <x:v>Dan_mg3</x:v>
      </x:c>
      <x:c r="F376" s="17" t="n">
        <x:v>1.200679</x:v>
      </x:c>
    </x:row>
    <x:row r="377">
      <x:c r="A377" t="str">
        <x:v>UGT</x:v>
      </x:c>
      <x:c r="B377" t="str">
        <x:v>TRINITY_DN39303_c0_g1</x:v>
      </x:c>
      <x:c r="C377" t="str">
        <x:v>Mul</x:v>
      </x:c>
      <x:c r="D377" t="n">
        <x:v>1</x:v>
      </x:c>
      <x:c r="E377" t="str">
        <x:v>Mul_mg1</x:v>
      </x:c>
      <x:c r="F377" s="17" t="n">
        <x:v>0.184577</x:v>
      </x:c>
    </x:row>
    <x:row r="378">
      <x:c r="A378" t="str">
        <x:v>UGT</x:v>
      </x:c>
      <x:c r="B378" t="str">
        <x:v>TRINITY_DN39303_c0_g1</x:v>
      </x:c>
      <x:c r="C378" t="str">
        <x:v>Mul</x:v>
      </x:c>
      <x:c r="D378" t="n">
        <x:v>2</x:v>
      </x:c>
      <x:c r="E378" t="str">
        <x:v>Mul_mg2</x:v>
      </x:c>
      <x:c r="F378" s="17" t="n">
        <x:v>0.308598</x:v>
      </x:c>
    </x:row>
    <x:row r="379">
      <x:c r="A379" t="str">
        <x:v>UGT</x:v>
      </x:c>
      <x:c r="B379" t="str">
        <x:v>TRINITY_DN39303_c0_g1</x:v>
      </x:c>
      <x:c r="C379" t="str">
        <x:v>Mul</x:v>
      </x:c>
      <x:c r="D379" t="n">
        <x:v>3</x:v>
      </x:c>
      <x:c r="E379" t="str">
        <x:v>Mul_mg3</x:v>
      </x:c>
      <x:c r="F379" s="17" t="n">
        <x:v>0.158382</x:v>
      </x:c>
    </x:row>
    <x:row r="380">
      <x:c r="A380" t="str">
        <x:v>UGT</x:v>
      </x:c>
      <x:c r="B380" t="str">
        <x:v>TRINITY_DN41259_c0_g1</x:v>
      </x:c>
      <x:c r="C380" t="str">
        <x:v>Dan</x:v>
      </x:c>
      <x:c r="D380" t="n">
        <x:v>1</x:v>
      </x:c>
      <x:c r="E380" t="str">
        <x:v>Dan_mg1</x:v>
      </x:c>
      <x:c r="F380" s="17" t="n">
        <x:v>0</x:v>
      </x:c>
    </x:row>
    <x:row r="381">
      <x:c r="A381" t="str">
        <x:v>UGT</x:v>
      </x:c>
      <x:c r="B381" t="str">
        <x:v>TRINITY_DN41259_c0_g1</x:v>
      </x:c>
      <x:c r="C381" t="str">
        <x:v>Dan</x:v>
      </x:c>
      <x:c r="D381" t="n">
        <x:v>2</x:v>
      </x:c>
      <x:c r="E381" t="str">
        <x:v>Dan_mg2</x:v>
      </x:c>
      <x:c r="F381" s="17" t="n">
        <x:v>0.199383</x:v>
      </x:c>
    </x:row>
    <x:row r="382">
      <x:c r="A382" t="str">
        <x:v>UGT</x:v>
      </x:c>
      <x:c r="B382" t="str">
        <x:v>TRINITY_DN41259_c0_g1</x:v>
      </x:c>
      <x:c r="C382" t="str">
        <x:v>Dan</x:v>
      </x:c>
      <x:c r="D382" t="n">
        <x:v>3</x:v>
      </x:c>
      <x:c r="E382" t="str">
        <x:v>Dan_mg3</x:v>
      </x:c>
      <x:c r="F382" s="17" t="n">
        <x:v>0.015886</x:v>
      </x:c>
    </x:row>
    <x:row r="383">
      <x:c r="A383" t="str">
        <x:v>UGT</x:v>
      </x:c>
      <x:c r="B383" t="str">
        <x:v>TRINITY_DN41259_c0_g1</x:v>
      </x:c>
      <x:c r="C383" t="str">
        <x:v>Mul</x:v>
      </x:c>
      <x:c r="D383" t="n">
        <x:v>1</x:v>
      </x:c>
      <x:c r="E383" t="str">
        <x:v>Mul_mg1</x:v>
      </x:c>
      <x:c r="F383" s="17" t="n">
        <x:v>0.13243</x:v>
      </x:c>
    </x:row>
    <x:row r="384">
      <x:c r="A384" t="str">
        <x:v>UGT</x:v>
      </x:c>
      <x:c r="B384" t="str">
        <x:v>TRINITY_DN41259_c0_g1</x:v>
      </x:c>
      <x:c r="C384" t="str">
        <x:v>Mul</x:v>
      </x:c>
      <x:c r="D384" t="n">
        <x:v>2</x:v>
      </x:c>
      <x:c r="E384" t="str">
        <x:v>Mul_mg2</x:v>
      </x:c>
      <x:c r="F384" s="17" t="n">
        <x:v>0.163409</x:v>
      </x:c>
    </x:row>
    <x:row r="385">
      <x:c r="A385" t="str">
        <x:v>UGT</x:v>
      </x:c>
      <x:c r="B385" t="str">
        <x:v>TRINITY_DN41259_c0_g1</x:v>
      </x:c>
      <x:c r="C385" t="str">
        <x:v>Mul</x:v>
      </x:c>
      <x:c r="D385" t="n">
        <x:v>3</x:v>
      </x:c>
      <x:c r="E385" t="str">
        <x:v>Mul_mg3</x:v>
      </x:c>
      <x:c r="F385" s="17" t="n">
        <x:v>0.133702</x:v>
      </x:c>
    </x:row>
    <x:row r="386">
      <x:c r="A386" t="str">
        <x:v>UGT</x:v>
      </x:c>
      <x:c r="B386" t="str">
        <x:v>TRINITY_DN5199_c0_g1</x:v>
      </x:c>
      <x:c r="C386" t="str">
        <x:v>Dan</x:v>
      </x:c>
      <x:c r="D386" t="n">
        <x:v>1</x:v>
      </x:c>
      <x:c r="E386" t="str">
        <x:v>Dan_mg1</x:v>
      </x:c>
      <x:c r="F386" s="17" t="n">
        <x:v>2.191733</x:v>
      </x:c>
    </x:row>
    <x:row r="387">
      <x:c r="A387" t="str">
        <x:v>UGT</x:v>
      </x:c>
      <x:c r="B387" t="str">
        <x:v>TRINITY_DN5199_c0_g1</x:v>
      </x:c>
      <x:c r="C387" t="str">
        <x:v>Dan</x:v>
      </x:c>
      <x:c r="D387" t="n">
        <x:v>2</x:v>
      </x:c>
      <x:c r="E387" t="str">
        <x:v>Dan_mg2</x:v>
      </x:c>
      <x:c r="F387" s="17" t="n">
        <x:v>3.018588</x:v>
      </x:c>
    </x:row>
    <x:row r="388">
      <x:c r="A388" t="str">
        <x:v>UGT</x:v>
      </x:c>
      <x:c r="B388" t="str">
        <x:v>TRINITY_DN5199_c0_g1</x:v>
      </x:c>
      <x:c r="C388" t="str">
        <x:v>Dan</x:v>
      </x:c>
      <x:c r="D388" t="n">
        <x:v>3</x:v>
      </x:c>
      <x:c r="E388" t="str">
        <x:v>Dan_mg3</x:v>
      </x:c>
      <x:c r="F388" s="17" t="n">
        <x:v>3.269663</x:v>
      </x:c>
    </x:row>
    <x:row r="389">
      <x:c r="A389" t="str">
        <x:v>UGT</x:v>
      </x:c>
      <x:c r="B389" t="str">
        <x:v>TRINITY_DN5199_c0_g1</x:v>
      </x:c>
      <x:c r="C389" t="str">
        <x:v>Mul</x:v>
      </x:c>
      <x:c r="D389" t="n">
        <x:v>1</x:v>
      </x:c>
      <x:c r="E389" t="str">
        <x:v>Mul_mg1</x:v>
      </x:c>
      <x:c r="F389" s="17" t="n">
        <x:v>1.561503</x:v>
      </x:c>
    </x:row>
    <x:row r="390">
      <x:c r="A390" t="str">
        <x:v>UGT</x:v>
      </x:c>
      <x:c r="B390" t="str">
        <x:v>TRINITY_DN5199_c0_g1</x:v>
      </x:c>
      <x:c r="C390" t="str">
        <x:v>Mul</x:v>
      </x:c>
      <x:c r="D390" t="n">
        <x:v>2</x:v>
      </x:c>
      <x:c r="E390" t="str">
        <x:v>Mul_mg2</x:v>
      </x:c>
      <x:c r="F390" s="17" t="n">
        <x:v>1.421593</x:v>
      </x:c>
    </x:row>
    <x:row r="391">
      <x:c r="A391" t="str">
        <x:v>UGT</x:v>
      </x:c>
      <x:c r="B391" t="str">
        <x:v>TRINITY_DN5199_c0_g1</x:v>
      </x:c>
      <x:c r="C391" t="str">
        <x:v>Mul</x:v>
      </x:c>
      <x:c r="D391" t="n">
        <x:v>3</x:v>
      </x:c>
      <x:c r="E391" t="str">
        <x:v>Mul_mg3</x:v>
      </x:c>
      <x:c r="F391" s="17" t="n">
        <x:v>3.765416</x:v>
      </x:c>
    </x:row>
    <x:row r="392">
      <x:c r="A392" t="str">
        <x:v>UGT</x:v>
      </x:c>
      <x:c r="B392" t="str">
        <x:v>TRINITY_DN5252_c0_g3</x:v>
      </x:c>
      <x:c r="C392" t="str">
        <x:v>Dan</x:v>
      </x:c>
      <x:c r="D392" t="n">
        <x:v>1</x:v>
      </x:c>
      <x:c r="E392" t="str">
        <x:v>Dan_mg1</x:v>
      </x:c>
      <x:c r="F392" s="17" t="n">
        <x:v>1.29303</x:v>
      </x:c>
    </x:row>
    <x:row r="393">
      <x:c r="A393" t="str">
        <x:v>UGT</x:v>
      </x:c>
      <x:c r="B393" t="str">
        <x:v>TRINITY_DN5252_c0_g3</x:v>
      </x:c>
      <x:c r="C393" t="str">
        <x:v>Dan</x:v>
      </x:c>
      <x:c r="D393" t="n">
        <x:v>2</x:v>
      </x:c>
      <x:c r="E393" t="str">
        <x:v>Dan_mg2</x:v>
      </x:c>
      <x:c r="F393" s="17" t="n">
        <x:v>1.151784</x:v>
      </x:c>
    </x:row>
    <x:row r="394">
      <x:c r="A394" t="str">
        <x:v>UGT</x:v>
      </x:c>
      <x:c r="B394" t="str">
        <x:v>TRINITY_DN5252_c0_g3</x:v>
      </x:c>
      <x:c r="C394" t="str">
        <x:v>Dan</x:v>
      </x:c>
      <x:c r="D394" t="n">
        <x:v>3</x:v>
      </x:c>
      <x:c r="E394" t="str">
        <x:v>Dan_mg3</x:v>
      </x:c>
      <x:c r="F394" s="17" t="n">
        <x:v>0.048143</x:v>
      </x:c>
    </x:row>
    <x:row r="395">
      <x:c r="A395" t="str">
        <x:v>UGT</x:v>
      </x:c>
      <x:c r="B395" t="str">
        <x:v>TRINITY_DN5252_c0_g3</x:v>
      </x:c>
      <x:c r="C395" t="str">
        <x:v>Mul</x:v>
      </x:c>
      <x:c r="D395" t="n">
        <x:v>1</x:v>
      </x:c>
      <x:c r="E395" t="str">
        <x:v>Mul_mg1</x:v>
      </x:c>
      <x:c r="F395" s="17" t="n">
        <x:v>1.0726</x:v>
      </x:c>
    </x:row>
    <x:row r="396">
      <x:c r="A396" t="str">
        <x:v>UGT</x:v>
      </x:c>
      <x:c r="B396" t="str">
        <x:v>TRINITY_DN5252_c0_g3</x:v>
      </x:c>
      <x:c r="C396" t="str">
        <x:v>Mul</x:v>
      </x:c>
      <x:c r="D396" t="n">
        <x:v>2</x:v>
      </x:c>
      <x:c r="E396" t="str">
        <x:v>Mul_mg2</x:v>
      </x:c>
      <x:c r="F396" s="17" t="n">
        <x:v>0.834281</x:v>
      </x:c>
    </x:row>
    <x:row r="397">
      <x:c r="A397" t="str">
        <x:v>UGT</x:v>
      </x:c>
      <x:c r="B397" t="str">
        <x:v>TRINITY_DN5252_c0_g3</x:v>
      </x:c>
      <x:c r="C397" t="str">
        <x:v>Mul</x:v>
      </x:c>
      <x:c r="D397" t="n">
        <x:v>3</x:v>
      </x:c>
      <x:c r="E397" t="str">
        <x:v>Mul_mg3</x:v>
      </x:c>
      <x:c r="F397" s="17" t="n">
        <x:v>0.916146</x:v>
      </x:c>
    </x:row>
    <x:row r="398">
      <x:c r="A398" t="str">
        <x:v>UGT</x:v>
      </x:c>
      <x:c r="B398" t="str">
        <x:v>TRINITY_DN566_c0_g2</x:v>
      </x:c>
      <x:c r="C398" t="str">
        <x:v>Dan</x:v>
      </x:c>
      <x:c r="D398" t="n">
        <x:v>1</x:v>
      </x:c>
      <x:c r="E398" t="str">
        <x:v>Dan_mg1</x:v>
      </x:c>
      <x:c r="F398" s="17" t="n">
        <x:v>1.746635</x:v>
      </x:c>
    </x:row>
    <x:row r="399">
      <x:c r="A399" t="str">
        <x:v>UGT</x:v>
      </x:c>
      <x:c r="B399" t="str">
        <x:v>TRINITY_DN566_c0_g2</x:v>
      </x:c>
      <x:c r="C399" t="str">
        <x:v>Dan</x:v>
      </x:c>
      <x:c r="D399" t="n">
        <x:v>2</x:v>
      </x:c>
      <x:c r="E399" t="str">
        <x:v>Dan_mg2</x:v>
      </x:c>
      <x:c r="F399" s="17" t="n">
        <x:v>7.336517</x:v>
      </x:c>
    </x:row>
    <x:row r="400">
      <x:c r="A400" t="str">
        <x:v>UGT</x:v>
      </x:c>
      <x:c r="B400" t="str">
        <x:v>TRINITY_DN566_c0_g2</x:v>
      </x:c>
      <x:c r="C400" t="str">
        <x:v>Dan</x:v>
      </x:c>
      <x:c r="D400" t="n">
        <x:v>3</x:v>
      </x:c>
      <x:c r="E400" t="str">
        <x:v>Dan_mg3</x:v>
      </x:c>
      <x:c r="F400" s="17" t="n">
        <x:v>3.519595</x:v>
      </x:c>
    </x:row>
    <x:row r="401">
      <x:c r="A401" t="str">
        <x:v>UGT</x:v>
      </x:c>
      <x:c r="B401" t="str">
        <x:v>TRINITY_DN566_c0_g2</x:v>
      </x:c>
      <x:c r="C401" t="str">
        <x:v>Mul</x:v>
      </x:c>
      <x:c r="D401" t="n">
        <x:v>1</x:v>
      </x:c>
      <x:c r="E401" t="str">
        <x:v>Mul_mg1</x:v>
      </x:c>
      <x:c r="F401" s="17" t="n">
        <x:v>27.848549</x:v>
      </x:c>
    </x:row>
    <x:row r="402">
      <x:c r="A402" t="str">
        <x:v>UGT</x:v>
      </x:c>
      <x:c r="B402" t="str">
        <x:v>TRINITY_DN566_c0_g2</x:v>
      </x:c>
      <x:c r="C402" t="str">
        <x:v>Mul</x:v>
      </x:c>
      <x:c r="D402" t="n">
        <x:v>2</x:v>
      </x:c>
      <x:c r="E402" t="str">
        <x:v>Mul_mg2</x:v>
      </x:c>
      <x:c r="F402" s="17" t="n">
        <x:v>36.628184000000005</x:v>
      </x:c>
    </x:row>
    <x:row r="403">
      <x:c r="A403" t="str">
        <x:v>UGT</x:v>
      </x:c>
      <x:c r="B403" t="str">
        <x:v>TRINITY_DN566_c0_g2</x:v>
      </x:c>
      <x:c r="C403" t="str">
        <x:v>Mul</x:v>
      </x:c>
      <x:c r="D403" t="n">
        <x:v>3</x:v>
      </x:c>
      <x:c r="E403" t="str">
        <x:v>Mul_mg3</x:v>
      </x:c>
      <x:c r="F403" s="17" t="n">
        <x:v>46.396887</x:v>
      </x:c>
    </x:row>
    <x:row r="404">
      <x:c r="A404" t="str">
        <x:v>UGT</x:v>
      </x:c>
      <x:c r="B404" t="str">
        <x:v>TRINITY_DN60107_c0_g1</x:v>
      </x:c>
      <x:c r="C404" t="str">
        <x:v>Dan</x:v>
      </x:c>
      <x:c r="D404" t="n">
        <x:v>1</x:v>
      </x:c>
      <x:c r="E404" t="str">
        <x:v>Dan_mg1</x:v>
      </x:c>
      <x:c r="F404" s="17" t="n">
        <x:v>0</x:v>
      </x:c>
    </x:row>
    <x:row r="405">
      <x:c r="A405" t="str">
        <x:v>UGT</x:v>
      </x:c>
      <x:c r="B405" t="str">
        <x:v>TRINITY_DN60107_c0_g1</x:v>
      </x:c>
      <x:c r="C405" t="str">
        <x:v>Dan</x:v>
      </x:c>
      <x:c r="D405" t="n">
        <x:v>2</x:v>
      </x:c>
      <x:c r="E405" t="str">
        <x:v>Dan_mg2</x:v>
      </x:c>
      <x:c r="F405" s="17" t="n">
        <x:v>0</x:v>
      </x:c>
    </x:row>
    <x:row r="406">
      <x:c r="A406" t="str">
        <x:v>UGT</x:v>
      </x:c>
      <x:c r="B406" t="str">
        <x:v>TRINITY_DN60107_c0_g1</x:v>
      </x:c>
      <x:c r="C406" t="str">
        <x:v>Dan</x:v>
      </x:c>
      <x:c r="D406" t="n">
        <x:v>3</x:v>
      </x:c>
      <x:c r="E406" t="str">
        <x:v>Dan_mg3</x:v>
      </x:c>
      <x:c r="F406" s="17" t="n">
        <x:v>0</x:v>
      </x:c>
    </x:row>
    <x:row r="407">
      <x:c r="A407" t="str">
        <x:v>UGT</x:v>
      </x:c>
      <x:c r="B407" t="str">
        <x:v>TRINITY_DN60107_c0_g1</x:v>
      </x:c>
      <x:c r="C407" t="str">
        <x:v>Mul</x:v>
      </x:c>
      <x:c r="D407" t="n">
        <x:v>1</x:v>
      </x:c>
      <x:c r="E407" t="str">
        <x:v>Mul_mg1</x:v>
      </x:c>
      <x:c r="F407" s="17" t="n">
        <x:v>0.151394</x:v>
      </x:c>
    </x:row>
    <x:row r="408">
      <x:c r="A408" t="str">
        <x:v>UGT</x:v>
      </x:c>
      <x:c r="B408" t="str">
        <x:v>TRINITY_DN60107_c0_g1</x:v>
      </x:c>
      <x:c r="C408" t="str">
        <x:v>Mul</x:v>
      </x:c>
      <x:c r="D408" t="n">
        <x:v>2</x:v>
      </x:c>
      <x:c r="E408" t="str">
        <x:v>Mul_mg2</x:v>
      </x:c>
      <x:c r="F408" s="17" t="n">
        <x:v>0.288742</x:v>
      </x:c>
    </x:row>
    <x:row r="409">
      <x:c r="A409" t="str">
        <x:v>UGT</x:v>
      </x:c>
      <x:c r="B409" t="str">
        <x:v>TRINITY_DN60107_c0_g1</x:v>
      </x:c>
      <x:c r="C409" t="str">
        <x:v>Mul</x:v>
      </x:c>
      <x:c r="D409" t="n">
        <x:v>3</x:v>
      </x:c>
      <x:c r="E409" t="str">
        <x:v>Mul_mg3</x:v>
      </x:c>
      <x:c r="F409" s="17" t="n">
        <x:v>0</x:v>
      </x:c>
    </x:row>
    <x:row r="410">
      <x:c r="A410" t="str">
        <x:v>UGT</x:v>
      </x:c>
      <x:c r="B410" t="str">
        <x:v>TRINITY_DN654_c0_g1</x:v>
      </x:c>
      <x:c r="C410" t="str">
        <x:v>Dan</x:v>
      </x:c>
      <x:c r="D410" t="n">
        <x:v>1</x:v>
      </x:c>
      <x:c r="E410" t="str">
        <x:v>Dan_mg1</x:v>
      </x:c>
      <x:c r="F410" s="17" t="n">
        <x:v>9.166821</x:v>
      </x:c>
    </x:row>
    <x:row r="411">
      <x:c r="A411" t="str">
        <x:v>UGT</x:v>
      </x:c>
      <x:c r="B411" t="str">
        <x:v>TRINITY_DN654_c0_g1</x:v>
      </x:c>
      <x:c r="C411" t="str">
        <x:v>Dan</x:v>
      </x:c>
      <x:c r="D411" t="n">
        <x:v>2</x:v>
      </x:c>
      <x:c r="E411" t="str">
        <x:v>Dan_mg2</x:v>
      </x:c>
      <x:c r="F411" s="17" t="n">
        <x:v>31.721735000000002</x:v>
      </x:c>
    </x:row>
    <x:row r="412">
      <x:c r="A412" t="str">
        <x:v>UGT</x:v>
      </x:c>
      <x:c r="B412" t="str">
        <x:v>TRINITY_DN654_c0_g1</x:v>
      </x:c>
      <x:c r="C412" t="str">
        <x:v>Dan</x:v>
      </x:c>
      <x:c r="D412" t="n">
        <x:v>3</x:v>
      </x:c>
      <x:c r="E412" t="str">
        <x:v>Dan_mg3</x:v>
      </x:c>
      <x:c r="F412" s="17" t="n">
        <x:v>3.038342</x:v>
      </x:c>
    </x:row>
    <x:row r="413">
      <x:c r="A413" t="str">
        <x:v>UGT</x:v>
      </x:c>
      <x:c r="B413" t="str">
        <x:v>TRINITY_DN654_c0_g1</x:v>
      </x:c>
      <x:c r="C413" t="str">
        <x:v>Mul</x:v>
      </x:c>
      <x:c r="D413" t="n">
        <x:v>1</x:v>
      </x:c>
      <x:c r="E413" t="str">
        <x:v>Mul_mg1</x:v>
      </x:c>
      <x:c r="F413" s="17" t="n">
        <x:v>34.639143000000004</x:v>
      </x:c>
    </x:row>
    <x:row r="414">
      <x:c r="A414" t="str">
        <x:v>UGT</x:v>
      </x:c>
      <x:c r="B414" t="str">
        <x:v>TRINITY_DN654_c0_g1</x:v>
      </x:c>
      <x:c r="C414" t="str">
        <x:v>Mul</x:v>
      </x:c>
      <x:c r="D414" t="n">
        <x:v>2</x:v>
      </x:c>
      <x:c r="E414" t="str">
        <x:v>Mul_mg2</x:v>
      </x:c>
      <x:c r="F414" s="17" t="n">
        <x:v>22.315785</x:v>
      </x:c>
    </x:row>
    <x:row r="415">
      <x:c r="A415" t="str">
        <x:v>UGT</x:v>
      </x:c>
      <x:c r="B415" t="str">
        <x:v>TRINITY_DN654_c0_g1</x:v>
      </x:c>
      <x:c r="C415" t="str">
        <x:v>Mul</x:v>
      </x:c>
      <x:c r="D415" t="n">
        <x:v>3</x:v>
      </x:c>
      <x:c r="E415" t="str">
        <x:v>Mul_mg3</x:v>
      </x:c>
      <x:c r="F415" s="17" t="n">
        <x:v>17.459799999999998</x:v>
      </x:c>
    </x:row>
    <x:row r="416">
      <x:c r="A416" t="str">
        <x:v>UGT</x:v>
      </x:c>
      <x:c r="B416" t="str">
        <x:v>TRINITY_DN6816_c0_g1</x:v>
      </x:c>
      <x:c r="C416" t="str">
        <x:v>Dan</x:v>
      </x:c>
      <x:c r="D416" t="n">
        <x:v>1</x:v>
      </x:c>
      <x:c r="E416" t="str">
        <x:v>Dan_mg1</x:v>
      </x:c>
      <x:c r="F416" s="17" t="n">
        <x:v>24.3708</x:v>
      </x:c>
    </x:row>
    <x:row r="417">
      <x:c r="A417" t="str">
        <x:v>UGT</x:v>
      </x:c>
      <x:c r="B417" t="str">
        <x:v>TRINITY_DN6816_c0_g1</x:v>
      </x:c>
      <x:c r="C417" t="str">
        <x:v>Dan</x:v>
      </x:c>
      <x:c r="D417" t="n">
        <x:v>2</x:v>
      </x:c>
      <x:c r="E417" t="str">
        <x:v>Dan_mg2</x:v>
      </x:c>
      <x:c r="F417" s="17" t="n">
        <x:v>30.029187</x:v>
      </x:c>
    </x:row>
    <x:row r="418">
      <x:c r="A418" t="str">
        <x:v>UGT</x:v>
      </x:c>
      <x:c r="B418" t="str">
        <x:v>TRINITY_DN6816_c0_g1</x:v>
      </x:c>
      <x:c r="C418" t="str">
        <x:v>Dan</x:v>
      </x:c>
      <x:c r="D418" t="n">
        <x:v>3</x:v>
      </x:c>
      <x:c r="E418" t="str">
        <x:v>Dan_mg3</x:v>
      </x:c>
      <x:c r="F418" s="17" t="n">
        <x:v>29.835898</x:v>
      </x:c>
    </x:row>
    <x:row r="419">
      <x:c r="A419" t="str">
        <x:v>UGT</x:v>
      </x:c>
      <x:c r="B419" t="str">
        <x:v>TRINITY_DN6816_c0_g1</x:v>
      </x:c>
      <x:c r="C419" t="str">
        <x:v>Mul</x:v>
      </x:c>
      <x:c r="D419" t="n">
        <x:v>1</x:v>
      </x:c>
      <x:c r="E419" t="str">
        <x:v>Mul_mg1</x:v>
      </x:c>
      <x:c r="F419" s="17" t="n">
        <x:v>34.382098</x:v>
      </x:c>
    </x:row>
    <x:row r="420">
      <x:c r="A420" t="str">
        <x:v>UGT</x:v>
      </x:c>
      <x:c r="B420" t="str">
        <x:v>TRINITY_DN6816_c0_g1</x:v>
      </x:c>
      <x:c r="C420" t="str">
        <x:v>Mul</x:v>
      </x:c>
      <x:c r="D420" t="n">
        <x:v>2</x:v>
      </x:c>
      <x:c r="E420" t="str">
        <x:v>Mul_mg2</x:v>
      </x:c>
      <x:c r="F420" s="17" t="n">
        <x:v>52.662732999999996</x:v>
      </x:c>
    </x:row>
    <x:row r="421">
      <x:c r="A421" t="str">
        <x:v>UGT</x:v>
      </x:c>
      <x:c r="B421" t="str">
        <x:v>TRINITY_DN6816_c0_g1</x:v>
      </x:c>
      <x:c r="C421" t="str">
        <x:v>Mul</x:v>
      </x:c>
      <x:c r="D421" t="n">
        <x:v>3</x:v>
      </x:c>
      <x:c r="E421" t="str">
        <x:v>Mul_mg3</x:v>
      </x:c>
      <x:c r="F421" s="17" t="n">
        <x:v>41.431509</x:v>
      </x:c>
    </x:row>
    <x:row r="422">
      <x:c r="A422" t="str">
        <x:v>UGT</x:v>
      </x:c>
      <x:c r="B422" t="str">
        <x:v>TRINITY_DN7259_c0_g1</x:v>
      </x:c>
      <x:c r="C422" t="str">
        <x:v>Dan</x:v>
      </x:c>
      <x:c r="D422" t="n">
        <x:v>1</x:v>
      </x:c>
      <x:c r="E422" t="str">
        <x:v>Dan_mg1</x:v>
      </x:c>
      <x:c r="F422" s="17" t="n">
        <x:v>36.369519</x:v>
      </x:c>
    </x:row>
    <x:row r="423">
      <x:c r="A423" t="str">
        <x:v>UGT</x:v>
      </x:c>
      <x:c r="B423" t="str">
        <x:v>TRINITY_DN7259_c0_g1</x:v>
      </x:c>
      <x:c r="C423" t="str">
        <x:v>Dan</x:v>
      </x:c>
      <x:c r="D423" t="n">
        <x:v>2</x:v>
      </x:c>
      <x:c r="E423" t="str">
        <x:v>Dan_mg2</x:v>
      </x:c>
      <x:c r="F423" s="17" t="n">
        <x:v>38.682338</x:v>
      </x:c>
    </x:row>
    <x:row r="424">
      <x:c r="A424" t="str">
        <x:v>UGT</x:v>
      </x:c>
      <x:c r="B424" t="str">
        <x:v>TRINITY_DN7259_c0_g1</x:v>
      </x:c>
      <x:c r="C424" t="str">
        <x:v>Dan</x:v>
      </x:c>
      <x:c r="D424" t="n">
        <x:v>3</x:v>
      </x:c>
      <x:c r="E424" t="str">
        <x:v>Dan_mg3</x:v>
      </x:c>
      <x:c r="F424" s="17" t="n">
        <x:v>13.504367</x:v>
      </x:c>
    </x:row>
    <x:row r="425">
      <x:c r="A425" t="str">
        <x:v>UGT</x:v>
      </x:c>
      <x:c r="B425" t="str">
        <x:v>TRINITY_DN7259_c0_g1</x:v>
      </x:c>
      <x:c r="C425" t="str">
        <x:v>Mul</x:v>
      </x:c>
      <x:c r="D425" t="n">
        <x:v>1</x:v>
      </x:c>
      <x:c r="E425" t="str">
        <x:v>Mul_mg1</x:v>
      </x:c>
      <x:c r="F425" s="17" t="n">
        <x:v>57.411431</x:v>
      </x:c>
    </x:row>
    <x:row r="426">
      <x:c r="A426" t="str">
        <x:v>UGT</x:v>
      </x:c>
      <x:c r="B426" t="str">
        <x:v>TRINITY_DN7259_c0_g1</x:v>
      </x:c>
      <x:c r="C426" t="str">
        <x:v>Mul</x:v>
      </x:c>
      <x:c r="D426" t="n">
        <x:v>2</x:v>
      </x:c>
      <x:c r="E426" t="str">
        <x:v>Mul_mg2</x:v>
      </x:c>
      <x:c r="F426" s="17" t="n">
        <x:v>69.061377</x:v>
      </x:c>
    </x:row>
    <x:row r="427">
      <x:c r="A427" t="str">
        <x:v>UGT</x:v>
      </x:c>
      <x:c r="B427" t="str">
        <x:v>TRINITY_DN7259_c0_g1</x:v>
      </x:c>
      <x:c r="C427" t="str">
        <x:v>Mul</x:v>
      </x:c>
      <x:c r="D427" t="n">
        <x:v>3</x:v>
      </x:c>
      <x:c r="E427" t="str">
        <x:v>Mul_mg3</x:v>
      </x:c>
      <x:c r="F427" s="17" t="n">
        <x:v>76.276684</x:v>
      </x:c>
    </x:row>
    <x:row r="428">
      <x:c r="A428" t="str">
        <x:v>UGT</x:v>
      </x:c>
      <x:c r="B428" t="str">
        <x:v>TRINITY_DN729_c0_g1</x:v>
      </x:c>
      <x:c r="C428" t="str">
        <x:v>Dan</x:v>
      </x:c>
      <x:c r="D428" t="n">
        <x:v>1</x:v>
      </x:c>
      <x:c r="E428" t="str">
        <x:v>Dan_mg1</x:v>
      </x:c>
      <x:c r="F428" s="17" t="n">
        <x:v>62.322720000000004</x:v>
      </x:c>
    </x:row>
    <x:row r="429">
      <x:c r="A429" t="str">
        <x:v>UGT</x:v>
      </x:c>
      <x:c r="B429" t="str">
        <x:v>TRINITY_DN729_c0_g1</x:v>
      </x:c>
      <x:c r="C429" t="str">
        <x:v>Dan</x:v>
      </x:c>
      <x:c r="D429" t="n">
        <x:v>2</x:v>
      </x:c>
      <x:c r="E429" t="str">
        <x:v>Dan_mg2</x:v>
      </x:c>
      <x:c r="F429" s="17" t="n">
        <x:v>78.210143</x:v>
      </x:c>
    </x:row>
    <x:row r="430">
      <x:c r="A430" t="str">
        <x:v>UGT</x:v>
      </x:c>
      <x:c r="B430" t="str">
        <x:v>TRINITY_DN729_c0_g1</x:v>
      </x:c>
      <x:c r="C430" t="str">
        <x:v>Dan</x:v>
      </x:c>
      <x:c r="D430" t="n">
        <x:v>3</x:v>
      </x:c>
      <x:c r="E430" t="str">
        <x:v>Dan_mg3</x:v>
      </x:c>
      <x:c r="F430" s="17" t="n">
        <x:v>38.267896</x:v>
      </x:c>
    </x:row>
    <x:row r="431">
      <x:c r="A431" t="str">
        <x:v>UGT</x:v>
      </x:c>
      <x:c r="B431" t="str">
        <x:v>TRINITY_DN729_c0_g1</x:v>
      </x:c>
      <x:c r="C431" t="str">
        <x:v>Mul</x:v>
      </x:c>
      <x:c r="D431" t="n">
        <x:v>1</x:v>
      </x:c>
      <x:c r="E431" t="str">
        <x:v>Mul_mg1</x:v>
      </x:c>
      <x:c r="F431" s="17" t="n">
        <x:v>101.659454</x:v>
      </x:c>
    </x:row>
    <x:row r="432">
      <x:c r="A432" t="str">
        <x:v>UGT</x:v>
      </x:c>
      <x:c r="B432" t="str">
        <x:v>TRINITY_DN729_c0_g1</x:v>
      </x:c>
      <x:c r="C432" t="str">
        <x:v>Mul</x:v>
      </x:c>
      <x:c r="D432" t="n">
        <x:v>2</x:v>
      </x:c>
      <x:c r="E432" t="str">
        <x:v>Mul_mg2</x:v>
      </x:c>
      <x:c r="F432" s="17" t="n">
        <x:v>102.97134700000001</x:v>
      </x:c>
    </x:row>
    <x:row r="433">
      <x:c r="A433" t="str">
        <x:v>UGT</x:v>
      </x:c>
      <x:c r="B433" t="str">
        <x:v>TRINITY_DN729_c0_g1</x:v>
      </x:c>
      <x:c r="C433" t="str">
        <x:v>Mul</x:v>
      </x:c>
      <x:c r="D433" t="n">
        <x:v>3</x:v>
      </x:c>
      <x:c r="E433" t="str">
        <x:v>Mul_mg3</x:v>
      </x:c>
      <x:c r="F433" s="17" t="n">
        <x:v>122.10296</x:v>
      </x:c>
    </x:row>
    <x:row r="434">
      <x:c r="A434" t="str">
        <x:v>UGT</x:v>
      </x:c>
      <x:c r="B434" t="str">
        <x:v>TRINITY_DN7973_c0_g1</x:v>
      </x:c>
      <x:c r="C434" t="str">
        <x:v>Dan</x:v>
      </x:c>
      <x:c r="D434" t="n">
        <x:v>1</x:v>
      </x:c>
      <x:c r="E434" t="str">
        <x:v>Dan_mg1</x:v>
      </x:c>
      <x:c r="F434" s="17" t="n">
        <x:v>19.042175999999998</x:v>
      </x:c>
    </x:row>
    <x:row r="435">
      <x:c r="A435" t="str">
        <x:v>UGT</x:v>
      </x:c>
      <x:c r="B435" t="str">
        <x:v>TRINITY_DN7973_c0_g1</x:v>
      </x:c>
      <x:c r="C435" t="str">
        <x:v>Dan</x:v>
      </x:c>
      <x:c r="D435" t="n">
        <x:v>2</x:v>
      </x:c>
      <x:c r="E435" t="str">
        <x:v>Dan_mg2</x:v>
      </x:c>
      <x:c r="F435" s="17" t="n">
        <x:v>24.161050000000003</x:v>
      </x:c>
    </x:row>
    <x:row r="436">
      <x:c r="A436" t="str">
        <x:v>UGT</x:v>
      </x:c>
      <x:c r="B436" t="str">
        <x:v>TRINITY_DN7973_c0_g1</x:v>
      </x:c>
      <x:c r="C436" t="str">
        <x:v>Dan</x:v>
      </x:c>
      <x:c r="D436" t="n">
        <x:v>3</x:v>
      </x:c>
      <x:c r="E436" t="str">
        <x:v>Dan_mg3</x:v>
      </x:c>
      <x:c r="F436" s="17" t="n">
        <x:v>12.304905</x:v>
      </x:c>
    </x:row>
    <x:row r="437">
      <x:c r="A437" t="str">
        <x:v>UGT</x:v>
      </x:c>
      <x:c r="B437" t="str">
        <x:v>TRINITY_DN7973_c0_g1</x:v>
      </x:c>
      <x:c r="C437" t="str">
        <x:v>Mul</x:v>
      </x:c>
      <x:c r="D437" t="n">
        <x:v>1</x:v>
      </x:c>
      <x:c r="E437" t="str">
        <x:v>Mul_mg1</x:v>
      </x:c>
      <x:c r="F437" s="17" t="n">
        <x:v>30.573038</x:v>
      </x:c>
    </x:row>
    <x:row r="438">
      <x:c r="A438" t="str">
        <x:v>UGT</x:v>
      </x:c>
      <x:c r="B438" t="str">
        <x:v>TRINITY_DN7973_c0_g1</x:v>
      </x:c>
      <x:c r="C438" t="str">
        <x:v>Mul</x:v>
      </x:c>
      <x:c r="D438" t="n">
        <x:v>2</x:v>
      </x:c>
      <x:c r="E438" t="str">
        <x:v>Mul_mg2</x:v>
      </x:c>
      <x:c r="F438" s="17" t="n">
        <x:v>35.68721</x:v>
      </x:c>
    </x:row>
    <x:row r="439">
      <x:c r="A439" t="str">
        <x:v>UGT</x:v>
      </x:c>
      <x:c r="B439" t="str">
        <x:v>TRINITY_DN7973_c0_g1</x:v>
      </x:c>
      <x:c r="C439" t="str">
        <x:v>Mul</x:v>
      </x:c>
      <x:c r="D439" t="n">
        <x:v>3</x:v>
      </x:c>
      <x:c r="E439" t="str">
        <x:v>Mul_mg3</x:v>
      </x:c>
      <x:c r="F439" s="17" t="n">
        <x:v>34.873977000000004</x:v>
      </x:c>
    </x:row>
    <x:row r="440">
      <x:c r="A440" t="str">
        <x:v>UGT</x:v>
      </x:c>
      <x:c r="B440" t="str">
        <x:v>TRINITY_DN8039_c0_g1</x:v>
      </x:c>
      <x:c r="C440" t="str">
        <x:v>Dan</x:v>
      </x:c>
      <x:c r="D440" t="n">
        <x:v>1</x:v>
      </x:c>
      <x:c r="E440" t="str">
        <x:v>Dan_mg1</x:v>
      </x:c>
      <x:c r="F440" s="17" t="n">
        <x:v>0.603016</x:v>
      </x:c>
    </x:row>
    <x:row r="441">
      <x:c r="A441" t="str">
        <x:v>UGT</x:v>
      </x:c>
      <x:c r="B441" t="str">
        <x:v>TRINITY_DN8039_c0_g1</x:v>
      </x:c>
      <x:c r="C441" t="str">
        <x:v>Dan</x:v>
      </x:c>
      <x:c r="D441" t="n">
        <x:v>2</x:v>
      </x:c>
      <x:c r="E441" t="str">
        <x:v>Dan_mg2</x:v>
      </x:c>
      <x:c r="F441" s="17" t="n">
        <x:v>1.293826</x:v>
      </x:c>
    </x:row>
    <x:row r="442">
      <x:c r="A442" t="str">
        <x:v>UGT</x:v>
      </x:c>
      <x:c r="B442" t="str">
        <x:v>TRINITY_DN8039_c0_g1</x:v>
      </x:c>
      <x:c r="C442" t="str">
        <x:v>Dan</x:v>
      </x:c>
      <x:c r="D442" t="n">
        <x:v>3</x:v>
      </x:c>
      <x:c r="E442" t="str">
        <x:v>Dan_mg3</x:v>
      </x:c>
      <x:c r="F442" s="17" t="n">
        <x:v>1.315611</x:v>
      </x:c>
    </x:row>
    <x:row r="443">
      <x:c r="A443" t="str">
        <x:v>UGT</x:v>
      </x:c>
      <x:c r="B443" t="str">
        <x:v>TRINITY_DN8039_c0_g1</x:v>
      </x:c>
      <x:c r="C443" t="str">
        <x:v>Mul</x:v>
      </x:c>
      <x:c r="D443" t="n">
        <x:v>1</x:v>
      </x:c>
      <x:c r="E443" t="str">
        <x:v>Mul_mg1</x:v>
      </x:c>
      <x:c r="F443" s="17" t="n">
        <x:v>1.745115</x:v>
      </x:c>
    </x:row>
    <x:row r="444">
      <x:c r="A444" t="str">
        <x:v>UGT</x:v>
      </x:c>
      <x:c r="B444" t="str">
        <x:v>TRINITY_DN8039_c0_g1</x:v>
      </x:c>
      <x:c r="C444" t="str">
        <x:v>Mul</x:v>
      </x:c>
      <x:c r="D444" t="n">
        <x:v>2</x:v>
      </x:c>
      <x:c r="E444" t="str">
        <x:v>Mul_mg2</x:v>
      </x:c>
      <x:c r="F444" s="17" t="n">
        <x:v>2.70007</x:v>
      </x:c>
    </x:row>
    <x:row r="445">
      <x:c r="A445" t="str">
        <x:v>UGT</x:v>
      </x:c>
      <x:c r="B445" t="str">
        <x:v>TRINITY_DN8039_c0_g1</x:v>
      </x:c>
      <x:c r="C445" t="str">
        <x:v>Mul</x:v>
      </x:c>
      <x:c r="D445" t="n">
        <x:v>3</x:v>
      </x:c>
      <x:c r="E445" t="str">
        <x:v>Mul_mg3</x:v>
      </x:c>
      <x:c r="F445" s="17" t="n">
        <x:v>0.845038</x:v>
      </x:c>
    </x:row>
    <x:row r="446">
      <x:c r="A446" t="str">
        <x:v>UGT</x:v>
      </x:c>
      <x:c r="B446" t="str">
        <x:v>TRINITY_DN87_c1_g3</x:v>
      </x:c>
      <x:c r="C446" t="str">
        <x:v>Dan</x:v>
      </x:c>
      <x:c r="D446" t="n">
        <x:v>1</x:v>
      </x:c>
      <x:c r="E446" t="str">
        <x:v>Dan_mg1</x:v>
      </x:c>
      <x:c r="F446" s="17" t="n">
        <x:v>22.400955</x:v>
      </x:c>
    </x:row>
    <x:row r="447">
      <x:c r="A447" t="str">
        <x:v>UGT</x:v>
      </x:c>
      <x:c r="B447" t="str">
        <x:v>TRINITY_DN87_c1_g3</x:v>
      </x:c>
      <x:c r="C447" t="str">
        <x:v>Dan</x:v>
      </x:c>
      <x:c r="D447" t="n">
        <x:v>2</x:v>
      </x:c>
      <x:c r="E447" t="str">
        <x:v>Dan_mg2</x:v>
      </x:c>
      <x:c r="F447" s="17" t="n">
        <x:v>19.800771</x:v>
      </x:c>
    </x:row>
    <x:row r="448">
      <x:c r="A448" t="str">
        <x:v>UGT</x:v>
      </x:c>
      <x:c r="B448" t="str">
        <x:v>TRINITY_DN87_c1_g3</x:v>
      </x:c>
      <x:c r="C448" t="str">
        <x:v>Dan</x:v>
      </x:c>
      <x:c r="D448" t="n">
        <x:v>3</x:v>
      </x:c>
      <x:c r="E448" t="str">
        <x:v>Dan_mg3</x:v>
      </x:c>
      <x:c r="F448" s="17" t="n">
        <x:v>10.626021</x:v>
      </x:c>
    </x:row>
    <x:row r="449">
      <x:c r="A449" t="str">
        <x:v>UGT</x:v>
      </x:c>
      <x:c r="B449" t="str">
        <x:v>TRINITY_DN87_c1_g3</x:v>
      </x:c>
      <x:c r="C449" t="str">
        <x:v>Mul</x:v>
      </x:c>
      <x:c r="D449" t="n">
        <x:v>1</x:v>
      </x:c>
      <x:c r="E449" t="str">
        <x:v>Mul_mg1</x:v>
      </x:c>
      <x:c r="F449" s="17" t="n">
        <x:v>28.126039000000002</x:v>
      </x:c>
    </x:row>
    <x:row r="450">
      <x:c r="A450" t="str">
        <x:v>UGT</x:v>
      </x:c>
      <x:c r="B450" t="str">
        <x:v>TRINITY_DN87_c1_g3</x:v>
      </x:c>
      <x:c r="C450" t="str">
        <x:v>Mul</x:v>
      </x:c>
      <x:c r="D450" t="n">
        <x:v>2</x:v>
      </x:c>
      <x:c r="E450" t="str">
        <x:v>Mul_mg2</x:v>
      </x:c>
      <x:c r="F450" s="17" t="n">
        <x:v>18.990955</x:v>
      </x:c>
    </x:row>
    <x:row r="451">
      <x:c r="A451" t="str">
        <x:v>UGT</x:v>
      </x:c>
      <x:c r="B451" t="str">
        <x:v>TRINITY_DN87_c1_g3</x:v>
      </x:c>
      <x:c r="C451" t="str">
        <x:v>Mul</x:v>
      </x:c>
      <x:c r="D451" t="n">
        <x:v>3</x:v>
      </x:c>
      <x:c r="E451" t="str">
        <x:v>Mul_mg3</x:v>
      </x:c>
      <x:c r="F451" s="17" t="n">
        <x:v>12.767046</x:v>
      </x:c>
    </x:row>
    <x:row r="452">
      <x:c r="A452" t="str">
        <x:v>UGT</x:v>
      </x:c>
      <x:c r="B452" t="str">
        <x:v>TRINITY_DN9587_c0_g1</x:v>
      </x:c>
      <x:c r="C452" t="str">
        <x:v>Dan</x:v>
      </x:c>
      <x:c r="D452" t="n">
        <x:v>1</x:v>
      </x:c>
      <x:c r="E452" t="str">
        <x:v>Dan_mg1</x:v>
      </x:c>
      <x:c r="F452" s="17" t="n">
        <x:v>0.111424</x:v>
      </x:c>
    </x:row>
    <x:row r="453">
      <x:c r="A453" t="str">
        <x:v>UGT</x:v>
      </x:c>
      <x:c r="B453" t="str">
        <x:v>TRINITY_DN9587_c0_g1</x:v>
      </x:c>
      <x:c r="C453" t="str">
        <x:v>Dan</x:v>
      </x:c>
      <x:c r="D453" t="n">
        <x:v>2</x:v>
      </x:c>
      <x:c r="E453" t="str">
        <x:v>Dan_mg2</x:v>
      </x:c>
      <x:c r="F453" s="17" t="n">
        <x:v>0.19672800000000001</x:v>
      </x:c>
    </x:row>
    <x:row r="454">
      <x:c r="A454" t="str">
        <x:v>UGT</x:v>
      </x:c>
      <x:c r="B454" t="str">
        <x:v>TRINITY_DN9587_c0_g1</x:v>
      </x:c>
      <x:c r="C454" t="str">
        <x:v>Dan</x:v>
      </x:c>
      <x:c r="D454" t="n">
        <x:v>3</x:v>
      </x:c>
      <x:c r="E454" t="str">
        <x:v>Dan_mg3</x:v>
      </x:c>
      <x:c r="F454" s="17" t="n">
        <x:v>3.236121</x:v>
      </x:c>
    </x:row>
    <x:row r="455">
      <x:c r="A455" t="str">
        <x:v>UGT</x:v>
      </x:c>
      <x:c r="B455" t="str">
        <x:v>TRINITY_DN9587_c0_g1</x:v>
      </x:c>
      <x:c r="C455" t="str">
        <x:v>Mul</x:v>
      </x:c>
      <x:c r="D455" t="n">
        <x:v>1</x:v>
      </x:c>
      <x:c r="E455" t="str">
        <x:v>Mul_mg1</x:v>
      </x:c>
      <x:c r="F455" s="17" t="n">
        <x:v>0.15148</x:v>
      </x:c>
    </x:row>
    <x:row r="456">
      <x:c r="A456" t="str">
        <x:v>UGT</x:v>
      </x:c>
      <x:c r="B456" t="str">
        <x:v>TRINITY_DN9587_c0_g1</x:v>
      </x:c>
      <x:c r="C456" t="str">
        <x:v>Mul</x:v>
      </x:c>
      <x:c r="D456" t="n">
        <x:v>2</x:v>
      </x:c>
      <x:c r="E456" t="str">
        <x:v>Mul_mg2</x:v>
      </x:c>
      <x:c r="F456" s="17" t="n">
        <x:v>0.28358099999999997</x:v>
      </x:c>
    </x:row>
    <x:row r="457">
      <x:c r="A457" t="str">
        <x:v>UGT</x:v>
      </x:c>
      <x:c r="B457" t="str">
        <x:v>TRINITY_DN9587_c0_g1</x:v>
      </x:c>
      <x:c r="C457" t="str">
        <x:v>Mul</x:v>
      </x:c>
      <x:c r="D457" t="n">
        <x:v>3</x:v>
      </x:c>
      <x:c r="E457" t="str">
        <x:v>Mul_mg3</x:v>
      </x:c>
      <x:c r="F457" s="17" t="n">
        <x:v>0.614984</x:v>
      </x:c>
    </x:row>
    <x:row r="458">
      <x:c r="A458" t="str">
        <x:v>SULT</x:v>
      </x:c>
      <x:c r="B458" t="str">
        <x:v>TRINITY_DN1282_c1_g2</x:v>
      </x:c>
      <x:c r="C458" t="str">
        <x:v>Dan</x:v>
      </x:c>
      <x:c r="D458" t="n">
        <x:v>1</x:v>
      </x:c>
      <x:c r="E458" t="str">
        <x:v>Dan_mg1</x:v>
      </x:c>
      <x:c r="F458" s="17" t="n">
        <x:v>0.53343</x:v>
      </x:c>
    </x:row>
    <x:row r="459">
      <x:c r="A459" t="str">
        <x:v>SULT</x:v>
      </x:c>
      <x:c r="B459" t="str">
        <x:v>TRINITY_DN1282_c1_g2</x:v>
      </x:c>
      <x:c r="C459" t="str">
        <x:v>Dan</x:v>
      </x:c>
      <x:c r="D459" t="n">
        <x:v>2</x:v>
      </x:c>
      <x:c r="E459" t="str">
        <x:v>Dan_mg2</x:v>
      </x:c>
      <x:c r="F459" s="17" t="n">
        <x:v>1.302409</x:v>
      </x:c>
    </x:row>
    <x:row r="460">
      <x:c r="A460" t="str">
        <x:v>SULT</x:v>
      </x:c>
      <x:c r="B460" t="str">
        <x:v>TRINITY_DN1282_c1_g2</x:v>
      </x:c>
      <x:c r="C460" t="str">
        <x:v>Dan</x:v>
      </x:c>
      <x:c r="D460" t="n">
        <x:v>3</x:v>
      </x:c>
      <x:c r="E460" t="str">
        <x:v>Dan_mg3</x:v>
      </x:c>
      <x:c r="F460" s="17" t="n">
        <x:v>0.681225</x:v>
      </x:c>
    </x:row>
    <x:row r="461">
      <x:c r="A461" t="str">
        <x:v>SULT</x:v>
      </x:c>
      <x:c r="B461" t="str">
        <x:v>TRINITY_DN1282_c1_g2</x:v>
      </x:c>
      <x:c r="C461" t="str">
        <x:v>Mul</x:v>
      </x:c>
      <x:c r="D461" t="n">
        <x:v>1</x:v>
      </x:c>
      <x:c r="E461" t="str">
        <x:v>Mul_mg1</x:v>
      </x:c>
      <x:c r="F461" s="17" t="n">
        <x:v>9.62363</x:v>
      </x:c>
    </x:row>
    <x:row r="462">
      <x:c r="A462" t="str">
        <x:v>SULT</x:v>
      </x:c>
      <x:c r="B462" t="str">
        <x:v>TRINITY_DN1282_c1_g2</x:v>
      </x:c>
      <x:c r="C462" t="str">
        <x:v>Mul</x:v>
      </x:c>
      <x:c r="D462" t="n">
        <x:v>2</x:v>
      </x:c>
      <x:c r="E462" t="str">
        <x:v>Mul_mg2</x:v>
      </x:c>
      <x:c r="F462" s="17" t="n">
        <x:v>4.063916</x:v>
      </x:c>
    </x:row>
    <x:row r="463">
      <x:c r="A463" t="str">
        <x:v>SULT</x:v>
      </x:c>
      <x:c r="B463" t="str">
        <x:v>TRINITY_DN1282_c1_g2</x:v>
      </x:c>
      <x:c r="C463" t="str">
        <x:v>Mul</x:v>
      </x:c>
      <x:c r="D463" t="n">
        <x:v>3</x:v>
      </x:c>
      <x:c r="E463" t="str">
        <x:v>Mul_mg3</x:v>
      </x:c>
      <x:c r="F463" s="17" t="n">
        <x:v>2.642842</x:v>
      </x:c>
    </x:row>
    <x:row r="464">
      <x:c r="A464" t="str">
        <x:v>SULT</x:v>
      </x:c>
      <x:c r="B464" t="str">
        <x:v>TRINITY_DN13428_c0_g1</x:v>
      </x:c>
      <x:c r="C464" t="str">
        <x:v>Dan</x:v>
      </x:c>
      <x:c r="D464" t="n">
        <x:v>1</x:v>
      </x:c>
      <x:c r="E464" t="str">
        <x:v>Dan_mg1</x:v>
      </x:c>
      <x:c r="F464" s="17" t="n">
        <x:v>0.240016</x:v>
      </x:c>
    </x:row>
    <x:row r="465">
      <x:c r="A465" t="str">
        <x:v>SULT</x:v>
      </x:c>
      <x:c r="B465" t="str">
        <x:v>TRINITY_DN13428_c0_g1</x:v>
      </x:c>
      <x:c r="C465" t="str">
        <x:v>Dan</x:v>
      </x:c>
      <x:c r="D465" t="n">
        <x:v>2</x:v>
      </x:c>
      <x:c r="E465" t="str">
        <x:v>Dan_mg2</x:v>
      </x:c>
      <x:c r="F465" s="17" t="n">
        <x:v>0.5344099999999999</x:v>
      </x:c>
    </x:row>
    <x:row r="466">
      <x:c r="A466" t="str">
        <x:v>SULT</x:v>
      </x:c>
      <x:c r="B466" t="str">
        <x:v>TRINITY_DN13428_c0_g1</x:v>
      </x:c>
      <x:c r="C466" t="str">
        <x:v>Dan</x:v>
      </x:c>
      <x:c r="D466" t="n">
        <x:v>3</x:v>
      </x:c>
      <x:c r="E466" t="str">
        <x:v>Dan_mg3</x:v>
      </x:c>
      <x:c r="F466" s="17" t="n">
        <x:v>0.12103</x:v>
      </x:c>
    </x:row>
    <x:row r="467">
      <x:c r="A467" t="str">
        <x:v>SULT</x:v>
      </x:c>
      <x:c r="B467" t="str">
        <x:v>TRINITY_DN13428_c0_g1</x:v>
      </x:c>
      <x:c r="C467" t="str">
        <x:v>Mul</x:v>
      </x:c>
      <x:c r="D467" t="n">
        <x:v>1</x:v>
      </x:c>
      <x:c r="E467" t="str">
        <x:v>Mul_mg1</x:v>
      </x:c>
      <x:c r="F467" s="17" t="n">
        <x:v>0.314299</x:v>
      </x:c>
    </x:row>
    <x:row r="468">
      <x:c r="A468" t="str">
        <x:v>SULT</x:v>
      </x:c>
      <x:c r="B468" t="str">
        <x:v>TRINITY_DN13428_c0_g1</x:v>
      </x:c>
      <x:c r="C468" t="str">
        <x:v>Mul</x:v>
      </x:c>
      <x:c r="D468" t="n">
        <x:v>2</x:v>
      </x:c>
      <x:c r="E468" t="str">
        <x:v>Mul_mg2</x:v>
      </x:c>
      <x:c r="F468" s="17" t="n">
        <x:v>1.307853</x:v>
      </x:c>
    </x:row>
    <x:row r="469">
      <x:c r="A469" t="str">
        <x:v>SULT</x:v>
      </x:c>
      <x:c r="B469" t="str">
        <x:v>TRINITY_DN13428_c0_g1</x:v>
      </x:c>
      <x:c r="C469" t="str">
        <x:v>Mul</x:v>
      </x:c>
      <x:c r="D469" t="n">
        <x:v>3</x:v>
      </x:c>
      <x:c r="E469" t="str">
        <x:v>Mul_mg3</x:v>
      </x:c>
      <x:c r="F469" s="17" t="n">
        <x:v>0.061437</x:v>
      </x:c>
    </x:row>
    <x:row r="470">
      <x:c r="A470" t="str">
        <x:v>SULT</x:v>
      </x:c>
      <x:c r="B470" t="str">
        <x:v>TRINITY_DN13428_c0_g2</x:v>
      </x:c>
      <x:c r="C470" t="str">
        <x:v>Dan</x:v>
      </x:c>
      <x:c r="D470" t="n">
        <x:v>1</x:v>
      </x:c>
      <x:c r="E470" t="str">
        <x:v>Dan_mg1</x:v>
      </x:c>
      <x:c r="F470" s="17" t="n">
        <x:v>0.079301</x:v>
      </x:c>
    </x:row>
    <x:row r="471">
      <x:c r="A471" t="str">
        <x:v>SULT</x:v>
      </x:c>
      <x:c r="B471" t="str">
        <x:v>TRINITY_DN13428_c0_g2</x:v>
      </x:c>
      <x:c r="C471" t="str">
        <x:v>Dan</x:v>
      </x:c>
      <x:c r="D471" t="n">
        <x:v>2</x:v>
      </x:c>
      <x:c r="E471" t="str">
        <x:v>Dan_mg2</x:v>
      </x:c>
      <x:c r="F471" s="17" t="n">
        <x:v>0.250719</x:v>
      </x:c>
    </x:row>
    <x:row r="472">
      <x:c r="A472" t="str">
        <x:v>SULT</x:v>
      </x:c>
      <x:c r="B472" t="str">
        <x:v>TRINITY_DN13428_c0_g2</x:v>
      </x:c>
      <x:c r="C472" t="str">
        <x:v>Dan</x:v>
      </x:c>
      <x:c r="D472" t="n">
        <x:v>3</x:v>
      </x:c>
      <x:c r="E472" t="str">
        <x:v>Dan_mg3</x:v>
      </x:c>
      <x:c r="F472" s="17" t="n">
        <x:v>0.246333</x:v>
      </x:c>
    </x:row>
    <x:row r="473">
      <x:c r="A473" t="str">
        <x:v>SULT</x:v>
      </x:c>
      <x:c r="B473" t="str">
        <x:v>TRINITY_DN13428_c0_g2</x:v>
      </x:c>
      <x:c r="C473" t="str">
        <x:v>Mul</x:v>
      </x:c>
      <x:c r="D473" t="n">
        <x:v>1</x:v>
      </x:c>
      <x:c r="E473" t="str">
        <x:v>Mul_mg1</x:v>
      </x:c>
      <x:c r="F473" s="17" t="n">
        <x:v>0.411366</x:v>
      </x:c>
    </x:row>
    <x:row r="474">
      <x:c r="A474" t="str">
        <x:v>SULT</x:v>
      </x:c>
      <x:c r="B474" t="str">
        <x:v>TRINITY_DN13428_c0_g2</x:v>
      </x:c>
      <x:c r="C474" t="str">
        <x:v>Mul</x:v>
      </x:c>
      <x:c r="D474" t="n">
        <x:v>2</x:v>
      </x:c>
      <x:c r="E474" t="str">
        <x:v>Mul_mg2</x:v>
      </x:c>
      <x:c r="F474" s="17" t="n">
        <x:v>0.440033</x:v>
      </x:c>
    </x:row>
    <x:row r="475">
      <x:c r="A475" t="str">
        <x:v>SULT</x:v>
      </x:c>
      <x:c r="B475" t="str">
        <x:v>TRINITY_DN13428_c0_g2</x:v>
      </x:c>
      <x:c r="C475" t="str">
        <x:v>Mul</x:v>
      </x:c>
      <x:c r="D475" t="n">
        <x:v>3</x:v>
      </x:c>
      <x:c r="E475" t="str">
        <x:v>Mul_mg3</x:v>
      </x:c>
      <x:c r="F475" s="17" t="n">
        <x:v>0.106472</x:v>
      </x:c>
    </x:row>
    <x:row r="476">
      <x:c r="A476" t="str">
        <x:v>SULT</x:v>
      </x:c>
      <x:c r="B476" t="str">
        <x:v>TRINITY_DN18563_c0_g1</x:v>
      </x:c>
      <x:c r="C476" t="str">
        <x:v>Dan</x:v>
      </x:c>
      <x:c r="D476" t="n">
        <x:v>1</x:v>
      </x:c>
      <x:c r="E476" t="str">
        <x:v>Dan_mg1</x:v>
      </x:c>
      <x:c r="F476" s="17" t="n">
        <x:v>0.172274</x:v>
      </x:c>
    </x:row>
    <x:row r="477">
      <x:c r="A477" t="str">
        <x:v>SULT</x:v>
      </x:c>
      <x:c r="B477" t="str">
        <x:v>TRINITY_DN18563_c0_g1</x:v>
      </x:c>
      <x:c r="C477" t="str">
        <x:v>Dan</x:v>
      </x:c>
      <x:c r="D477" t="n">
        <x:v>2</x:v>
      </x:c>
      <x:c r="E477" t="str">
        <x:v>Dan_mg2</x:v>
      </x:c>
      <x:c r="F477" s="17" t="n">
        <x:v>0.644387</x:v>
      </x:c>
    </x:row>
    <x:row r="478">
      <x:c r="A478" t="str">
        <x:v>SULT</x:v>
      </x:c>
      <x:c r="B478" t="str">
        <x:v>TRINITY_DN18563_c0_g1</x:v>
      </x:c>
      <x:c r="C478" t="str">
        <x:v>Dan</x:v>
      </x:c>
      <x:c r="D478" t="n">
        <x:v>3</x:v>
      </x:c>
      <x:c r="E478" t="str">
        <x:v>Dan_mg3</x:v>
      </x:c>
      <x:c r="F478" s="17" t="n">
        <x:v>1.677719</x:v>
      </x:c>
    </x:row>
    <x:row r="479">
      <x:c r="A479" t="str">
        <x:v>SULT</x:v>
      </x:c>
      <x:c r="B479" t="str">
        <x:v>TRINITY_DN18563_c0_g1</x:v>
      </x:c>
      <x:c r="C479" t="str">
        <x:v>Mul</x:v>
      </x:c>
      <x:c r="D479" t="n">
        <x:v>1</x:v>
      </x:c>
      <x:c r="E479" t="str">
        <x:v>Mul_mg1</x:v>
      </x:c>
      <x:c r="F479" s="17" t="n">
        <x:v>0</x:v>
      </x:c>
    </x:row>
    <x:row r="480">
      <x:c r="A480" t="str">
        <x:v>SULT</x:v>
      </x:c>
      <x:c r="B480" t="str">
        <x:v>TRINITY_DN18563_c0_g1</x:v>
      </x:c>
      <x:c r="C480" t="str">
        <x:v>Mul</x:v>
      </x:c>
      <x:c r="D480" t="n">
        <x:v>2</x:v>
      </x:c>
      <x:c r="E480" t="str">
        <x:v>Mul_mg2</x:v>
      </x:c>
      <x:c r="F480" s="17" t="n">
        <x:v>0.062638</x:v>
      </x:c>
    </x:row>
    <x:row r="481">
      <x:c r="A481" t="str">
        <x:v>SULT</x:v>
      </x:c>
      <x:c r="B481" t="str">
        <x:v>TRINITY_DN18563_c0_g1</x:v>
      </x:c>
      <x:c r="C481" t="str">
        <x:v>Mul</x:v>
      </x:c>
      <x:c r="D481" t="n">
        <x:v>3</x:v>
      </x:c>
      <x:c r="E481" t="str">
        <x:v>Mul_mg3</x:v>
      </x:c>
      <x:c r="F481" s="17" t="n">
        <x:v>0</x:v>
      </x:c>
    </x:row>
    <x:row r="482">
      <x:c r="A482" t="str">
        <x:v>SULT</x:v>
      </x:c>
      <x:c r="B482" t="str">
        <x:v>TRINITY_DN1884_c0_g1</x:v>
      </x:c>
      <x:c r="C482" t="str">
        <x:v>Dan</x:v>
      </x:c>
      <x:c r="D482" t="n">
        <x:v>1</x:v>
      </x:c>
      <x:c r="E482" t="str">
        <x:v>Dan_mg1</x:v>
      </x:c>
      <x:c r="F482" s="17" t="n">
        <x:v>60.328386</x:v>
      </x:c>
    </x:row>
    <x:row r="483">
      <x:c r="A483" t="str">
        <x:v>SULT</x:v>
      </x:c>
      <x:c r="B483" t="str">
        <x:v>TRINITY_DN1884_c0_g1</x:v>
      </x:c>
      <x:c r="C483" t="str">
        <x:v>Dan</x:v>
      </x:c>
      <x:c r="D483" t="n">
        <x:v>2</x:v>
      </x:c>
      <x:c r="E483" t="str">
        <x:v>Dan_mg2</x:v>
      </x:c>
      <x:c r="F483" s="17" t="n">
        <x:v>104.456856</x:v>
      </x:c>
    </x:row>
    <x:row r="484">
      <x:c r="A484" t="str">
        <x:v>SULT</x:v>
      </x:c>
      <x:c r="B484" t="str">
        <x:v>TRINITY_DN1884_c0_g1</x:v>
      </x:c>
      <x:c r="C484" t="str">
        <x:v>Dan</x:v>
      </x:c>
      <x:c r="D484" t="n">
        <x:v>3</x:v>
      </x:c>
      <x:c r="E484" t="str">
        <x:v>Dan_mg3</x:v>
      </x:c>
      <x:c r="F484" s="17" t="n">
        <x:v>41.575593</x:v>
      </x:c>
    </x:row>
    <x:row r="485">
      <x:c r="A485" t="str">
        <x:v>SULT</x:v>
      </x:c>
      <x:c r="B485" t="str">
        <x:v>TRINITY_DN1884_c0_g1</x:v>
      </x:c>
      <x:c r="C485" t="str">
        <x:v>Mul</x:v>
      </x:c>
      <x:c r="D485" t="n">
        <x:v>1</x:v>
      </x:c>
      <x:c r="E485" t="str">
        <x:v>Mul_mg1</x:v>
      </x:c>
      <x:c r="F485" s="17" t="n">
        <x:v>48.481214</x:v>
      </x:c>
    </x:row>
    <x:row r="486">
      <x:c r="A486" t="str">
        <x:v>SULT</x:v>
      </x:c>
      <x:c r="B486" t="str">
        <x:v>TRINITY_DN1884_c0_g1</x:v>
      </x:c>
      <x:c r="C486" t="str">
        <x:v>Mul</x:v>
      </x:c>
      <x:c r="D486" t="n">
        <x:v>2</x:v>
      </x:c>
      <x:c r="E486" t="str">
        <x:v>Mul_mg2</x:v>
      </x:c>
      <x:c r="F486" s="17" t="n">
        <x:v>85.29727199999999</x:v>
      </x:c>
    </x:row>
    <x:row r="487">
      <x:c r="A487" t="str">
        <x:v>SULT</x:v>
      </x:c>
      <x:c r="B487" t="str">
        <x:v>TRINITY_DN1884_c0_g1</x:v>
      </x:c>
      <x:c r="C487" t="str">
        <x:v>Mul</x:v>
      </x:c>
      <x:c r="D487" t="n">
        <x:v>3</x:v>
      </x:c>
      <x:c r="E487" t="str">
        <x:v>Mul_mg3</x:v>
      </x:c>
      <x:c r="F487" s="17" t="n">
        <x:v>108.355405</x:v>
      </x:c>
    </x:row>
    <x:row r="488">
      <x:c r="A488" t="str">
        <x:v>SULT</x:v>
      </x:c>
      <x:c r="B488" t="str">
        <x:v>TRINITY_DN260_c1_g1</x:v>
      </x:c>
      <x:c r="C488" t="str">
        <x:v>Dan</x:v>
      </x:c>
      <x:c r="D488" t="n">
        <x:v>1</x:v>
      </x:c>
      <x:c r="E488" t="str">
        <x:v>Dan_mg1</x:v>
      </x:c>
      <x:c r="F488" s="17" t="n">
        <x:v>460.727667</x:v>
      </x:c>
    </x:row>
    <x:row r="489">
      <x:c r="A489" t="str">
        <x:v>SULT</x:v>
      </x:c>
      <x:c r="B489" t="str">
        <x:v>TRINITY_DN260_c1_g1</x:v>
      </x:c>
      <x:c r="C489" t="str">
        <x:v>Dan</x:v>
      </x:c>
      <x:c r="D489" t="n">
        <x:v>2</x:v>
      </x:c>
      <x:c r="E489" t="str">
        <x:v>Dan_mg2</x:v>
      </x:c>
      <x:c r="F489" s="17" t="n">
        <x:v>723.701139</x:v>
      </x:c>
    </x:row>
    <x:row r="490">
      <x:c r="A490" t="str">
        <x:v>SULT</x:v>
      </x:c>
      <x:c r="B490" t="str">
        <x:v>TRINITY_DN260_c1_g1</x:v>
      </x:c>
      <x:c r="C490" t="str">
        <x:v>Dan</x:v>
      </x:c>
      <x:c r="D490" t="n">
        <x:v>3</x:v>
      </x:c>
      <x:c r="E490" t="str">
        <x:v>Dan_mg3</x:v>
      </x:c>
      <x:c r="F490" s="17" t="n">
        <x:v>381.201308</x:v>
      </x:c>
    </x:row>
    <x:row r="491">
      <x:c r="A491" t="str">
        <x:v>SULT</x:v>
      </x:c>
      <x:c r="B491" t="str">
        <x:v>TRINITY_DN260_c1_g1</x:v>
      </x:c>
      <x:c r="C491" t="str">
        <x:v>Mul</x:v>
      </x:c>
      <x:c r="D491" t="n">
        <x:v>1</x:v>
      </x:c>
      <x:c r="E491" t="str">
        <x:v>Mul_mg1</x:v>
      </x:c>
      <x:c r="F491" s="17" t="n">
        <x:v>374.594053</x:v>
      </x:c>
    </x:row>
    <x:row r="492">
      <x:c r="A492" t="str">
        <x:v>SULT</x:v>
      </x:c>
      <x:c r="B492" t="str">
        <x:v>TRINITY_DN260_c1_g1</x:v>
      </x:c>
      <x:c r="C492" t="str">
        <x:v>Mul</x:v>
      </x:c>
      <x:c r="D492" t="n">
        <x:v>2</x:v>
      </x:c>
      <x:c r="E492" t="str">
        <x:v>Mul_mg2</x:v>
      </x:c>
      <x:c r="F492" s="17" t="n">
        <x:v>345.946152</x:v>
      </x:c>
    </x:row>
    <x:row r="493">
      <x:c r="A493" t="str">
        <x:v>SULT</x:v>
      </x:c>
      <x:c r="B493" t="str">
        <x:v>TRINITY_DN260_c1_g1</x:v>
      </x:c>
      <x:c r="C493" t="str">
        <x:v>Mul</x:v>
      </x:c>
      <x:c r="D493" t="n">
        <x:v>3</x:v>
      </x:c>
      <x:c r="E493" t="str">
        <x:v>Mul_mg3</x:v>
      </x:c>
      <x:c r="F493" s="17" t="n">
        <x:v>455.796607</x:v>
      </x:c>
    </x:row>
    <x:row r="494">
      <x:c r="A494" t="str">
        <x:v>SULT</x:v>
      </x:c>
      <x:c r="B494" t="str">
        <x:v>TRINITY_DN275_c0_g1</x:v>
      </x:c>
      <x:c r="C494" t="str">
        <x:v>Dan</x:v>
      </x:c>
      <x:c r="D494" t="n">
        <x:v>1</x:v>
      </x:c>
      <x:c r="E494" t="str">
        <x:v>Dan_mg1</x:v>
      </x:c>
      <x:c r="F494" s="17" t="n">
        <x:v>5.164658</x:v>
      </x:c>
    </x:row>
    <x:row r="495">
      <x:c r="A495" t="str">
        <x:v>SULT</x:v>
      </x:c>
      <x:c r="B495" t="str">
        <x:v>TRINITY_DN275_c0_g1</x:v>
      </x:c>
      <x:c r="C495" t="str">
        <x:v>Dan</x:v>
      </x:c>
      <x:c r="D495" t="n">
        <x:v>2</x:v>
      </x:c>
      <x:c r="E495" t="str">
        <x:v>Dan_mg2</x:v>
      </x:c>
      <x:c r="F495" s="17" t="n">
        <x:v>9.938026</x:v>
      </x:c>
    </x:row>
    <x:row r="496">
      <x:c r="A496" t="str">
        <x:v>SULT</x:v>
      </x:c>
      <x:c r="B496" t="str">
        <x:v>TRINITY_DN275_c0_g1</x:v>
      </x:c>
      <x:c r="C496" t="str">
        <x:v>Dan</x:v>
      </x:c>
      <x:c r="D496" t="n">
        <x:v>3</x:v>
      </x:c>
      <x:c r="E496" t="str">
        <x:v>Dan_mg3</x:v>
      </x:c>
      <x:c r="F496" s="17" t="n">
        <x:v>6.101466</x:v>
      </x:c>
    </x:row>
    <x:row r="497">
      <x:c r="A497" t="str">
        <x:v>SULT</x:v>
      </x:c>
      <x:c r="B497" t="str">
        <x:v>TRINITY_DN275_c0_g1</x:v>
      </x:c>
      <x:c r="C497" t="str">
        <x:v>Mul</x:v>
      </x:c>
      <x:c r="D497" t="n">
        <x:v>1</x:v>
      </x:c>
      <x:c r="E497" t="str">
        <x:v>Mul_mg1</x:v>
      </x:c>
      <x:c r="F497" s="17" t="n">
        <x:v>9.709106</x:v>
      </x:c>
    </x:row>
    <x:row r="498">
      <x:c r="A498" t="str">
        <x:v>SULT</x:v>
      </x:c>
      <x:c r="B498" t="str">
        <x:v>TRINITY_DN275_c0_g1</x:v>
      </x:c>
      <x:c r="C498" t="str">
        <x:v>Mul</x:v>
      </x:c>
      <x:c r="D498" t="n">
        <x:v>2</x:v>
      </x:c>
      <x:c r="E498" t="str">
        <x:v>Mul_mg2</x:v>
      </x:c>
      <x:c r="F498" s="17" t="n">
        <x:v>8.179689</x:v>
      </x:c>
    </x:row>
    <x:row r="499">
      <x:c r="A499" t="str">
        <x:v>SULT</x:v>
      </x:c>
      <x:c r="B499" t="str">
        <x:v>TRINITY_DN275_c0_g1</x:v>
      </x:c>
      <x:c r="C499" t="str">
        <x:v>Mul</x:v>
      </x:c>
      <x:c r="D499" t="n">
        <x:v>3</x:v>
      </x:c>
      <x:c r="E499" t="str">
        <x:v>Mul_mg3</x:v>
      </x:c>
      <x:c r="F499" s="17" t="n">
        <x:v>9.885457</x:v>
      </x:c>
    </x:row>
    <x:row r="500">
      <x:c r="A500" t="str">
        <x:v>SULT</x:v>
      </x:c>
      <x:c r="B500" t="str">
        <x:v>TRINITY_DN27959_c0_g1</x:v>
      </x:c>
      <x:c r="C500" t="str">
        <x:v>Dan</x:v>
      </x:c>
      <x:c r="D500" t="n">
        <x:v>1</x:v>
      </x:c>
      <x:c r="E500" t="str">
        <x:v>Dan_mg1</x:v>
      </x:c>
      <x:c r="F500" s="17" t="n">
        <x:v>0.071259</x:v>
      </x:c>
    </x:row>
    <x:row r="501">
      <x:c r="A501" t="str">
        <x:v>SULT</x:v>
      </x:c>
      <x:c r="B501" t="str">
        <x:v>TRINITY_DN27959_c0_g1</x:v>
      </x:c>
      <x:c r="C501" t="str">
        <x:v>Dan</x:v>
      </x:c>
      <x:c r="D501" t="n">
        <x:v>2</x:v>
      </x:c>
      <x:c r="E501" t="str">
        <x:v>Dan_mg2</x:v>
      </x:c>
      <x:c r="F501" s="17" t="n">
        <x:v>0.16493</x:v>
      </x:c>
    </x:row>
    <x:row r="502">
      <x:c r="A502" t="str">
        <x:v>SULT</x:v>
      </x:c>
      <x:c r="B502" t="str">
        <x:v>TRINITY_DN27959_c0_g1</x:v>
      </x:c>
      <x:c r="C502" t="str">
        <x:v>Dan</x:v>
      </x:c>
      <x:c r="D502" t="n">
        <x:v>3</x:v>
      </x:c>
      <x:c r="E502" t="str">
        <x:v>Dan_mg3</x:v>
      </x:c>
      <x:c r="F502" s="17" t="n">
        <x:v>0.9604349999999999</x:v>
      </x:c>
    </x:row>
    <x:row r="503">
      <x:c r="A503" t="str">
        <x:v>SULT</x:v>
      </x:c>
      <x:c r="B503" t="str">
        <x:v>TRINITY_DN27959_c0_g1</x:v>
      </x:c>
      <x:c r="C503" t="str">
        <x:v>Mul</x:v>
      </x:c>
      <x:c r="D503" t="n">
        <x:v>1</x:v>
      </x:c>
      <x:c r="E503" t="str">
        <x:v>Mul_mg1</x:v>
      </x:c>
      <x:c r="F503" s="17" t="n">
        <x:v>0.111798</x:v>
      </x:c>
    </x:row>
    <x:row r="504">
      <x:c r="A504" t="str">
        <x:v>SULT</x:v>
      </x:c>
      <x:c r="B504" t="str">
        <x:v>TRINITY_DN27959_c0_g1</x:v>
      </x:c>
      <x:c r="C504" t="str">
        <x:v>Mul</x:v>
      </x:c>
      <x:c r="D504" t="n">
        <x:v>2</x:v>
      </x:c>
      <x:c r="E504" t="str">
        <x:v>Mul_mg2</x:v>
      </x:c>
      <x:c r="F504" s="17" t="n">
        <x:v>0.089698</x:v>
      </x:c>
    </x:row>
    <x:row r="505">
      <x:c r="A505" t="str">
        <x:v>SULT</x:v>
      </x:c>
      <x:c r="B505" t="str">
        <x:v>TRINITY_DN27959_c0_g1</x:v>
      </x:c>
      <x:c r="C505" t="str">
        <x:v>Mul</x:v>
      </x:c>
      <x:c r="D505" t="n">
        <x:v>3</x:v>
      </x:c>
      <x:c r="E505" t="str">
        <x:v>Mul_mg3</x:v>
      </x:c>
      <x:c r="F505" s="17" t="n">
        <x:v>0.084282</x:v>
      </x:c>
    </x:row>
    <x:row r="506">
      <x:c r="A506" t="str">
        <x:v>SULT</x:v>
      </x:c>
      <x:c r="B506" t="str">
        <x:v>TRINITY_DN5927_c0_g1</x:v>
      </x:c>
      <x:c r="C506" t="str">
        <x:v>Dan</x:v>
      </x:c>
      <x:c r="D506" t="n">
        <x:v>1</x:v>
      </x:c>
      <x:c r="E506" t="str">
        <x:v>Dan_mg1</x:v>
      </x:c>
      <x:c r="F506" s="17" t="n">
        <x:v>116.516503</x:v>
      </x:c>
    </x:row>
    <x:row r="507">
      <x:c r="A507" t="str">
        <x:v>SULT</x:v>
      </x:c>
      <x:c r="B507" t="str">
        <x:v>TRINITY_DN5927_c0_g1</x:v>
      </x:c>
      <x:c r="C507" t="str">
        <x:v>Dan</x:v>
      </x:c>
      <x:c r="D507" t="n">
        <x:v>2</x:v>
      </x:c>
      <x:c r="E507" t="str">
        <x:v>Dan_mg2</x:v>
      </x:c>
      <x:c r="F507" s="17" t="n">
        <x:v>220.669767</x:v>
      </x:c>
    </x:row>
    <x:row r="508">
      <x:c r="A508" t="str">
        <x:v>SULT</x:v>
      </x:c>
      <x:c r="B508" t="str">
        <x:v>TRINITY_DN5927_c0_g1</x:v>
      </x:c>
      <x:c r="C508" t="str">
        <x:v>Dan</x:v>
      </x:c>
      <x:c r="D508" t="n">
        <x:v>3</x:v>
      </x:c>
      <x:c r="E508" t="str">
        <x:v>Dan_mg3</x:v>
      </x:c>
      <x:c r="F508" s="17" t="n">
        <x:v>168.25462000000002</x:v>
      </x:c>
    </x:row>
    <x:row r="509">
      <x:c r="A509" t="str">
        <x:v>SULT</x:v>
      </x:c>
      <x:c r="B509" t="str">
        <x:v>TRINITY_DN5927_c0_g1</x:v>
      </x:c>
      <x:c r="C509" t="str">
        <x:v>Mul</x:v>
      </x:c>
      <x:c r="D509" t="n">
        <x:v>1</x:v>
      </x:c>
      <x:c r="E509" t="str">
        <x:v>Mul_mg1</x:v>
      </x:c>
      <x:c r="F509" s="17" t="n">
        <x:v>118.991785</x:v>
      </x:c>
    </x:row>
    <x:row r="510">
      <x:c r="A510" t="str">
        <x:v>SULT</x:v>
      </x:c>
      <x:c r="B510" t="str">
        <x:v>TRINITY_DN5927_c0_g1</x:v>
      </x:c>
      <x:c r="C510" t="str">
        <x:v>Mul</x:v>
      </x:c>
      <x:c r="D510" t="n">
        <x:v>2</x:v>
      </x:c>
      <x:c r="E510" t="str">
        <x:v>Mul_mg2</x:v>
      </x:c>
      <x:c r="F510" s="17" t="n">
        <x:v>104.788347</x:v>
      </x:c>
    </x:row>
    <x:row r="511">
      <x:c r="A511" t="str">
        <x:v>SULT</x:v>
      </x:c>
      <x:c r="B511" t="str">
        <x:v>TRINITY_DN5927_c0_g1</x:v>
      </x:c>
      <x:c r="C511" t="str">
        <x:v>Mul</x:v>
      </x:c>
      <x:c r="D511" t="n">
        <x:v>3</x:v>
      </x:c>
      <x:c r="E511" t="str">
        <x:v>Mul_mg3</x:v>
      </x:c>
      <x:c r="F511" s="17" t="n">
        <x:v>66.246954</x:v>
      </x:c>
    </x:row>
    <x:row r="512">
      <x:c r="A512" t="str">
        <x:v>SULT</x:v>
      </x:c>
      <x:c r="B512" t="str">
        <x:v>TRINITY_DN5949_c0_g1</x:v>
      </x:c>
      <x:c r="C512" t="str">
        <x:v>Dan</x:v>
      </x:c>
      <x:c r="D512" t="n">
        <x:v>1</x:v>
      </x:c>
      <x:c r="E512" t="str">
        <x:v>Dan_mg1</x:v>
      </x:c>
      <x:c r="F512" s="17" t="n">
        <x:v>6.003498</x:v>
      </x:c>
    </x:row>
    <x:row r="513">
      <x:c r="A513" t="str">
        <x:v>SULT</x:v>
      </x:c>
      <x:c r="B513" t="str">
        <x:v>TRINITY_DN5949_c0_g1</x:v>
      </x:c>
      <x:c r="C513" t="str">
        <x:v>Dan</x:v>
      </x:c>
      <x:c r="D513" t="n">
        <x:v>2</x:v>
      </x:c>
      <x:c r="E513" t="str">
        <x:v>Dan_mg2</x:v>
      </x:c>
      <x:c r="F513" s="17" t="n">
        <x:v>10.646097</x:v>
      </x:c>
    </x:row>
    <x:row r="514">
      <x:c r="A514" t="str">
        <x:v>SULT</x:v>
      </x:c>
      <x:c r="B514" t="str">
        <x:v>TRINITY_DN5949_c0_g1</x:v>
      </x:c>
      <x:c r="C514" t="str">
        <x:v>Dan</x:v>
      </x:c>
      <x:c r="D514" t="n">
        <x:v>3</x:v>
      </x:c>
      <x:c r="E514" t="str">
        <x:v>Dan_mg3</x:v>
      </x:c>
      <x:c r="F514" s="17" t="n">
        <x:v>4.050796</x:v>
      </x:c>
    </x:row>
    <x:row r="515">
      <x:c r="A515" t="str">
        <x:v>SULT</x:v>
      </x:c>
      <x:c r="B515" t="str">
        <x:v>TRINITY_DN5949_c0_g1</x:v>
      </x:c>
      <x:c r="C515" t="str">
        <x:v>Mul</x:v>
      </x:c>
      <x:c r="D515" t="n">
        <x:v>1</x:v>
      </x:c>
      <x:c r="E515" t="str">
        <x:v>Mul_mg1</x:v>
      </x:c>
      <x:c r="F515" s="17" t="n">
        <x:v>8.988485</x:v>
      </x:c>
    </x:row>
    <x:row r="516">
      <x:c r="A516" t="str">
        <x:v>SULT</x:v>
      </x:c>
      <x:c r="B516" t="str">
        <x:v>TRINITY_DN5949_c0_g1</x:v>
      </x:c>
      <x:c r="C516" t="str">
        <x:v>Mul</x:v>
      </x:c>
      <x:c r="D516" t="n">
        <x:v>2</x:v>
      </x:c>
      <x:c r="E516" t="str">
        <x:v>Mul_mg2</x:v>
      </x:c>
      <x:c r="F516" s="17" t="n">
        <x:v>5.64395</x:v>
      </x:c>
    </x:row>
    <x:row r="517">
      <x:c r="A517" t="str">
        <x:v>SULT</x:v>
      </x:c>
      <x:c r="B517" t="str">
        <x:v>TRINITY_DN5949_c0_g1</x:v>
      </x:c>
      <x:c r="C517" t="str">
        <x:v>Mul</x:v>
      </x:c>
      <x:c r="D517" t="n">
        <x:v>3</x:v>
      </x:c>
      <x:c r="E517" t="str">
        <x:v>Mul_mg3</x:v>
      </x:c>
      <x:c r="F517" s="17" t="n">
        <x:v>1.034779</x:v>
      </x:c>
    </x:row>
    <x:row r="518">
      <x:c r="A518" t="str">
        <x:v>SULT</x:v>
      </x:c>
      <x:c r="B518" t="str">
        <x:v>TRINITY_DN659_c1_g1</x:v>
      </x:c>
      <x:c r="C518" t="str">
        <x:v>Dan</x:v>
      </x:c>
      <x:c r="D518" t="n">
        <x:v>1</x:v>
      </x:c>
      <x:c r="E518" t="str">
        <x:v>Dan_mg1</x:v>
      </x:c>
      <x:c r="F518" s="17" t="n">
        <x:v>133.412877</x:v>
      </x:c>
    </x:row>
    <x:row r="519">
      <x:c r="A519" t="str">
        <x:v>SULT</x:v>
      </x:c>
      <x:c r="B519" t="str">
        <x:v>TRINITY_DN659_c1_g1</x:v>
      </x:c>
      <x:c r="C519" t="str">
        <x:v>Dan</x:v>
      </x:c>
      <x:c r="D519" t="n">
        <x:v>2</x:v>
      </x:c>
      <x:c r="E519" t="str">
        <x:v>Dan_mg2</x:v>
      </x:c>
      <x:c r="F519" s="17" t="n">
        <x:v>239.75860799999998</x:v>
      </x:c>
    </x:row>
    <x:row r="520">
      <x:c r="A520" t="str">
        <x:v>SULT</x:v>
      </x:c>
      <x:c r="B520" t="str">
        <x:v>TRINITY_DN659_c1_g1</x:v>
      </x:c>
      <x:c r="C520" t="str">
        <x:v>Dan</x:v>
      </x:c>
      <x:c r="D520" t="n">
        <x:v>3</x:v>
      </x:c>
      <x:c r="E520" t="str">
        <x:v>Dan_mg3</x:v>
      </x:c>
      <x:c r="F520" s="17" t="n">
        <x:v>222.323406</x:v>
      </x:c>
    </x:row>
    <x:row r="521">
      <x:c r="A521" t="str">
        <x:v>SULT</x:v>
      </x:c>
      <x:c r="B521" t="str">
        <x:v>TRINITY_DN659_c1_g1</x:v>
      </x:c>
      <x:c r="C521" t="str">
        <x:v>Mul</x:v>
      </x:c>
      <x:c r="D521" t="n">
        <x:v>1</x:v>
      </x:c>
      <x:c r="E521" t="str">
        <x:v>Mul_mg1</x:v>
      </x:c>
      <x:c r="F521" s="17" t="n">
        <x:v>148.24445699999998</x:v>
      </x:c>
    </x:row>
    <x:row r="522">
      <x:c r="A522" t="str">
        <x:v>SULT</x:v>
      </x:c>
      <x:c r="B522" t="str">
        <x:v>TRINITY_DN659_c1_g1</x:v>
      </x:c>
      <x:c r="C522" t="str">
        <x:v>Mul</x:v>
      </x:c>
      <x:c r="D522" t="n">
        <x:v>2</x:v>
      </x:c>
      <x:c r="E522" t="str">
        <x:v>Mul_mg2</x:v>
      </x:c>
      <x:c r="F522" s="17" t="n">
        <x:v>121.585513</x:v>
      </x:c>
    </x:row>
    <x:row r="523">
      <x:c r="A523" t="str">
        <x:v>SULT</x:v>
      </x:c>
      <x:c r="B523" t="str">
        <x:v>TRINITY_DN659_c1_g1</x:v>
      </x:c>
      <x:c r="C523" t="str">
        <x:v>Mul</x:v>
      </x:c>
      <x:c r="D523" t="n">
        <x:v>3</x:v>
      </x:c>
      <x:c r="E523" t="str">
        <x:v>Mul_mg3</x:v>
      </x:c>
      <x:c r="F523" s="17" t="n">
        <x:v>98.512</x:v>
      </x:c>
    </x:row>
    <x:row r="524">
      <x:c r="A524" t="str">
        <x:v>ABC</x:v>
      </x:c>
      <x:c r="B524" t="str">
        <x:v>TRINITY_DN10989_c0_g1</x:v>
      </x:c>
      <x:c r="C524" t="str">
        <x:v>Dan</x:v>
      </x:c>
      <x:c r="D524" t="n">
        <x:v>1</x:v>
      </x:c>
      <x:c r="E524" t="str">
        <x:v>Dan_mg1</x:v>
      </x:c>
      <x:c r="F524" s="17" t="n">
        <x:v>0.644574</x:v>
      </x:c>
    </x:row>
    <x:row r="525">
      <x:c r="A525" t="str">
        <x:v>ABC</x:v>
      </x:c>
      <x:c r="B525" t="str">
        <x:v>TRINITY_DN10989_c0_g1</x:v>
      </x:c>
      <x:c r="C525" t="str">
        <x:v>Dan</x:v>
      </x:c>
      <x:c r="D525" t="n">
        <x:v>2</x:v>
      </x:c>
      <x:c r="E525" t="str">
        <x:v>Dan_mg2</x:v>
      </x:c>
      <x:c r="F525" s="17" t="n">
        <x:v>0</x:v>
      </x:c>
    </x:row>
    <x:row r="526">
      <x:c r="A526" t="str">
        <x:v>ABC</x:v>
      </x:c>
      <x:c r="B526" t="str">
        <x:v>TRINITY_DN10989_c0_g1</x:v>
      </x:c>
      <x:c r="C526" t="str">
        <x:v>Dan</x:v>
      </x:c>
      <x:c r="D526" t="n">
        <x:v>3</x:v>
      </x:c>
      <x:c r="E526" t="str">
        <x:v>Dan_mg3</x:v>
      </x:c>
      <x:c r="F526" s="17" t="n">
        <x:v>0.663687</x:v>
      </x:c>
    </x:row>
    <x:row r="527">
      <x:c r="A527" t="str">
        <x:v>ABC</x:v>
      </x:c>
      <x:c r="B527" t="str">
        <x:v>TRINITY_DN10989_c0_g1</x:v>
      </x:c>
      <x:c r="C527" t="str">
        <x:v>Mul</x:v>
      </x:c>
      <x:c r="D527" t="n">
        <x:v>1</x:v>
      </x:c>
      <x:c r="E527" t="str">
        <x:v>Mul_mg1</x:v>
      </x:c>
      <x:c r="F527" s="17" t="n">
        <x:v>0.65984</x:v>
      </x:c>
    </x:row>
    <x:row r="528">
      <x:c r="A528" t="str">
        <x:v>ABC</x:v>
      </x:c>
      <x:c r="B528" t="str">
        <x:v>TRINITY_DN10989_c0_g1</x:v>
      </x:c>
      <x:c r="C528" t="str">
        <x:v>Mul</x:v>
      </x:c>
      <x:c r="D528" t="n">
        <x:v>2</x:v>
      </x:c>
      <x:c r="E528" t="str">
        <x:v>Mul_mg2</x:v>
      </x:c>
      <x:c r="F528" s="17" t="n">
        <x:v>0</x:v>
      </x:c>
    </x:row>
    <x:row r="529">
      <x:c r="A529" t="str">
        <x:v>ABC</x:v>
      </x:c>
      <x:c r="B529" t="str">
        <x:v>TRINITY_DN10989_c0_g1</x:v>
      </x:c>
      <x:c r="C529" t="str">
        <x:v>Mul</x:v>
      </x:c>
      <x:c r="D529" t="n">
        <x:v>3</x:v>
      </x:c>
      <x:c r="E529" t="str">
        <x:v>Mul_mg3</x:v>
      </x:c>
      <x:c r="F529" s="17" t="n">
        <x:v>1.230028</x:v>
      </x:c>
    </x:row>
    <x:row r="530">
      <x:c r="A530" t="str">
        <x:v>ABC</x:v>
      </x:c>
      <x:c r="B530" t="str">
        <x:v>TRINITY_DN1124_c0_g1</x:v>
      </x:c>
      <x:c r="C530" t="str">
        <x:v>Dan</x:v>
      </x:c>
      <x:c r="D530" t="n">
        <x:v>1</x:v>
      </x:c>
      <x:c r="E530" t="str">
        <x:v>Dan_mg1</x:v>
      </x:c>
      <x:c r="F530" s="17" t="n">
        <x:v>10.27421</x:v>
      </x:c>
    </x:row>
    <x:row r="531">
      <x:c r="A531" t="str">
        <x:v>ABC</x:v>
      </x:c>
      <x:c r="B531" t="str">
        <x:v>TRINITY_DN1124_c0_g1</x:v>
      </x:c>
      <x:c r="C531" t="str">
        <x:v>Dan</x:v>
      </x:c>
      <x:c r="D531" t="n">
        <x:v>2</x:v>
      </x:c>
      <x:c r="E531" t="str">
        <x:v>Dan_mg2</x:v>
      </x:c>
      <x:c r="F531" s="17" t="n">
        <x:v>17.173547</x:v>
      </x:c>
    </x:row>
    <x:row r="532">
      <x:c r="A532" t="str">
        <x:v>ABC</x:v>
      </x:c>
      <x:c r="B532" t="str">
        <x:v>TRINITY_DN1124_c0_g1</x:v>
      </x:c>
      <x:c r="C532" t="str">
        <x:v>Dan</x:v>
      </x:c>
      <x:c r="D532" t="n">
        <x:v>3</x:v>
      </x:c>
      <x:c r="E532" t="str">
        <x:v>Dan_mg3</x:v>
      </x:c>
      <x:c r="F532" s="17" t="n">
        <x:v>12.463777</x:v>
      </x:c>
    </x:row>
    <x:row r="533">
      <x:c r="A533" t="str">
        <x:v>ABC</x:v>
      </x:c>
      <x:c r="B533" t="str">
        <x:v>TRINITY_DN1124_c0_g1</x:v>
      </x:c>
      <x:c r="C533" t="str">
        <x:v>Mul</x:v>
      </x:c>
      <x:c r="D533" t="n">
        <x:v>1</x:v>
      </x:c>
      <x:c r="E533" t="str">
        <x:v>Mul_mg1</x:v>
      </x:c>
      <x:c r="F533" s="17" t="n">
        <x:v>45.999145</x:v>
      </x:c>
    </x:row>
    <x:row r="534">
      <x:c r="A534" t="str">
        <x:v>ABC</x:v>
      </x:c>
      <x:c r="B534" t="str">
        <x:v>TRINITY_DN1124_c0_g1</x:v>
      </x:c>
      <x:c r="C534" t="str">
        <x:v>Mul</x:v>
      </x:c>
      <x:c r="D534" t="n">
        <x:v>2</x:v>
      </x:c>
      <x:c r="E534" t="str">
        <x:v>Mul_mg2</x:v>
      </x:c>
      <x:c r="F534" s="17" t="n">
        <x:v>43.846283</x:v>
      </x:c>
    </x:row>
    <x:row r="535">
      <x:c r="A535" t="str">
        <x:v>ABC</x:v>
      </x:c>
      <x:c r="B535" t="str">
        <x:v>TRINITY_DN1124_c0_g1</x:v>
      </x:c>
      <x:c r="C535" t="str">
        <x:v>Mul</x:v>
      </x:c>
      <x:c r="D535" t="n">
        <x:v>3</x:v>
      </x:c>
      <x:c r="E535" t="str">
        <x:v>Mul_mg3</x:v>
      </x:c>
      <x:c r="F535" s="17" t="n">
        <x:v>24.974984</x:v>
      </x:c>
    </x:row>
    <x:row r="536">
      <x:c r="A536" t="str">
        <x:v>ABC</x:v>
      </x:c>
      <x:c r="B536" t="str">
        <x:v>TRINITY_DN1142_c1_g1</x:v>
      </x:c>
      <x:c r="C536" t="str">
        <x:v>Dan</x:v>
      </x:c>
      <x:c r="D536" t="n">
        <x:v>1</x:v>
      </x:c>
      <x:c r="E536" t="str">
        <x:v>Dan_mg1</x:v>
      </x:c>
      <x:c r="F536" s="17" t="n">
        <x:v>5.5363739999999995</x:v>
      </x:c>
    </x:row>
    <x:row r="537">
      <x:c r="A537" t="str">
        <x:v>ABC</x:v>
      </x:c>
      <x:c r="B537" t="str">
        <x:v>TRINITY_DN1142_c1_g1</x:v>
      </x:c>
      <x:c r="C537" t="str">
        <x:v>Dan</x:v>
      </x:c>
      <x:c r="D537" t="n">
        <x:v>2</x:v>
      </x:c>
      <x:c r="E537" t="str">
        <x:v>Dan_mg2</x:v>
      </x:c>
      <x:c r="F537" s="17" t="n">
        <x:v>10.665141</x:v>
      </x:c>
    </x:row>
    <x:row r="538">
      <x:c r="A538" t="str">
        <x:v>ABC</x:v>
      </x:c>
      <x:c r="B538" t="str">
        <x:v>TRINITY_DN1142_c1_g1</x:v>
      </x:c>
      <x:c r="C538" t="str">
        <x:v>Dan</x:v>
      </x:c>
      <x:c r="D538" t="n">
        <x:v>3</x:v>
      </x:c>
      <x:c r="E538" t="str">
        <x:v>Dan_mg3</x:v>
      </x:c>
      <x:c r="F538" s="17" t="n">
        <x:v>17.620508</x:v>
      </x:c>
    </x:row>
    <x:row r="539">
      <x:c r="A539" t="str">
        <x:v>ABC</x:v>
      </x:c>
      <x:c r="B539" t="str">
        <x:v>TRINITY_DN1142_c1_g1</x:v>
      </x:c>
      <x:c r="C539" t="str">
        <x:v>Mul</x:v>
      </x:c>
      <x:c r="D539" t="n">
        <x:v>1</x:v>
      </x:c>
      <x:c r="E539" t="str">
        <x:v>Mul_mg1</x:v>
      </x:c>
      <x:c r="F539" s="17" t="n">
        <x:v>7.495091</x:v>
      </x:c>
    </x:row>
    <x:row r="540">
      <x:c r="A540" t="str">
        <x:v>ABC</x:v>
      </x:c>
      <x:c r="B540" t="str">
        <x:v>TRINITY_DN1142_c1_g1</x:v>
      </x:c>
      <x:c r="C540" t="str">
        <x:v>Mul</x:v>
      </x:c>
      <x:c r="D540" t="n">
        <x:v>2</x:v>
      </x:c>
      <x:c r="E540" t="str">
        <x:v>Mul_mg2</x:v>
      </x:c>
      <x:c r="F540" s="17" t="n">
        <x:v>10.0774</x:v>
      </x:c>
    </x:row>
    <x:row r="541">
      <x:c r="A541" t="str">
        <x:v>ABC</x:v>
      </x:c>
      <x:c r="B541" t="str">
        <x:v>TRINITY_DN1142_c1_g1</x:v>
      </x:c>
      <x:c r="C541" t="str">
        <x:v>Mul</x:v>
      </x:c>
      <x:c r="D541" t="n">
        <x:v>3</x:v>
      </x:c>
      <x:c r="E541" t="str">
        <x:v>Mul_mg3</x:v>
      </x:c>
      <x:c r="F541" s="17" t="n">
        <x:v>21.822042</x:v>
      </x:c>
    </x:row>
    <x:row r="542">
      <x:c r="A542" t="str">
        <x:v>ABC</x:v>
      </x:c>
      <x:c r="B542" t="str">
        <x:v>TRINITY_DN11606_c0_g1</x:v>
      </x:c>
      <x:c r="C542" t="str">
        <x:v>Dan</x:v>
      </x:c>
      <x:c r="D542" t="n">
        <x:v>1</x:v>
      </x:c>
      <x:c r="E542" t="str">
        <x:v>Dan_mg1</x:v>
      </x:c>
      <x:c r="F542" s="17" t="n">
        <x:v>0.139163</x:v>
      </x:c>
    </x:row>
    <x:row r="543">
      <x:c r="A543" t="str">
        <x:v>ABC</x:v>
      </x:c>
      <x:c r="B543" t="str">
        <x:v>TRINITY_DN11606_c0_g1</x:v>
      </x:c>
      <x:c r="C543" t="str">
        <x:v>Dan</x:v>
      </x:c>
      <x:c r="D543" t="n">
        <x:v>2</x:v>
      </x:c>
      <x:c r="E543" t="str">
        <x:v>Dan_mg2</x:v>
      </x:c>
      <x:c r="F543" s="17" t="n">
        <x:v>0.366317</x:v>
      </x:c>
    </x:row>
    <x:row r="544">
      <x:c r="A544" t="str">
        <x:v>ABC</x:v>
      </x:c>
      <x:c r="B544" t="str">
        <x:v>TRINITY_DN11606_c0_g1</x:v>
      </x:c>
      <x:c r="C544" t="str">
        <x:v>Dan</x:v>
      </x:c>
      <x:c r="D544" t="n">
        <x:v>3</x:v>
      </x:c>
      <x:c r="E544" t="str">
        <x:v>Dan_mg3</x:v>
      </x:c>
      <x:c r="F544" s="17" t="n">
        <x:v>0.5196649999999999</x:v>
      </x:c>
    </x:row>
    <x:row r="545">
      <x:c r="A545" t="str">
        <x:v>ABC</x:v>
      </x:c>
      <x:c r="B545" t="str">
        <x:v>TRINITY_DN11606_c0_g1</x:v>
      </x:c>
      <x:c r="C545" t="str">
        <x:v>Mul</x:v>
      </x:c>
      <x:c r="D545" t="n">
        <x:v>1</x:v>
      </x:c>
      <x:c r="E545" t="str">
        <x:v>Mul_mg1</x:v>
      </x:c>
      <x:c r="F545" s="17" t="n">
        <x:v>1.217252</x:v>
      </x:c>
    </x:row>
    <x:row r="546">
      <x:c r="A546" t="str">
        <x:v>ABC</x:v>
      </x:c>
      <x:c r="B546" t="str">
        <x:v>TRINITY_DN11606_c0_g1</x:v>
      </x:c>
      <x:c r="C546" t="str">
        <x:v>Mul</x:v>
      </x:c>
      <x:c r="D546" t="n">
        <x:v>2</x:v>
      </x:c>
      <x:c r="E546" t="str">
        <x:v>Mul_mg2</x:v>
      </x:c>
      <x:c r="F546" s="17" t="n">
        <x:v>0.6884859999999999</x:v>
      </x:c>
    </x:row>
    <x:row r="547">
      <x:c r="A547" t="str">
        <x:v>ABC</x:v>
      </x:c>
      <x:c r="B547" t="str">
        <x:v>TRINITY_DN11606_c0_g1</x:v>
      </x:c>
      <x:c r="C547" t="str">
        <x:v>Mul</x:v>
      </x:c>
      <x:c r="D547" t="n">
        <x:v>3</x:v>
      </x:c>
      <x:c r="E547" t="str">
        <x:v>Mul_mg3</x:v>
      </x:c>
      <x:c r="F547" s="17" t="n">
        <x:v>0.299051</x:v>
      </x:c>
    </x:row>
    <x:row r="548">
      <x:c r="A548" t="str">
        <x:v>ABC</x:v>
      </x:c>
      <x:c r="B548" t="str">
        <x:v>TRINITY_DN11773_c0_g1</x:v>
      </x:c>
      <x:c r="C548" t="str">
        <x:v>Dan</x:v>
      </x:c>
      <x:c r="D548" t="n">
        <x:v>1</x:v>
      </x:c>
      <x:c r="E548" t="str">
        <x:v>Dan_mg1</x:v>
      </x:c>
      <x:c r="F548" s="17" t="n">
        <x:v>13.401411</x:v>
      </x:c>
    </x:row>
    <x:row r="549">
      <x:c r="A549" t="str">
        <x:v>ABC</x:v>
      </x:c>
      <x:c r="B549" t="str">
        <x:v>TRINITY_DN11773_c0_g1</x:v>
      </x:c>
      <x:c r="C549" t="str">
        <x:v>Dan</x:v>
      </x:c>
      <x:c r="D549" t="n">
        <x:v>2</x:v>
      </x:c>
      <x:c r="E549" t="str">
        <x:v>Dan_mg2</x:v>
      </x:c>
      <x:c r="F549" s="17" t="n">
        <x:v>18.582588</x:v>
      </x:c>
    </x:row>
    <x:row r="550">
      <x:c r="A550" t="str">
        <x:v>ABC</x:v>
      </x:c>
      <x:c r="B550" t="str">
        <x:v>TRINITY_DN11773_c0_g1</x:v>
      </x:c>
      <x:c r="C550" t="str">
        <x:v>Dan</x:v>
      </x:c>
      <x:c r="D550" t="n">
        <x:v>3</x:v>
      </x:c>
      <x:c r="E550" t="str">
        <x:v>Dan_mg3</x:v>
      </x:c>
      <x:c r="F550" s="17" t="n">
        <x:v>7.045577</x:v>
      </x:c>
    </x:row>
    <x:row r="551">
      <x:c r="A551" t="str">
        <x:v>ABC</x:v>
      </x:c>
      <x:c r="B551" t="str">
        <x:v>TRINITY_DN11773_c0_g1</x:v>
      </x:c>
      <x:c r="C551" t="str">
        <x:v>Mul</x:v>
      </x:c>
      <x:c r="D551" t="n">
        <x:v>1</x:v>
      </x:c>
      <x:c r="E551" t="str">
        <x:v>Mul_mg1</x:v>
      </x:c>
      <x:c r="F551" s="17" t="n">
        <x:v>16.400432000000002</x:v>
      </x:c>
    </x:row>
    <x:row r="552">
      <x:c r="A552" t="str">
        <x:v>ABC</x:v>
      </x:c>
      <x:c r="B552" t="str">
        <x:v>TRINITY_DN11773_c0_g1</x:v>
      </x:c>
      <x:c r="C552" t="str">
        <x:v>Mul</x:v>
      </x:c>
      <x:c r="D552" t="n">
        <x:v>2</x:v>
      </x:c>
      <x:c r="E552" t="str">
        <x:v>Mul_mg2</x:v>
      </x:c>
      <x:c r="F552" s="17" t="n">
        <x:v>14.730338</x:v>
      </x:c>
    </x:row>
    <x:row r="553">
      <x:c r="A553" t="str">
        <x:v>ABC</x:v>
      </x:c>
      <x:c r="B553" t="str">
        <x:v>TRINITY_DN11773_c0_g1</x:v>
      </x:c>
      <x:c r="C553" t="str">
        <x:v>Mul</x:v>
      </x:c>
      <x:c r="D553" t="n">
        <x:v>3</x:v>
      </x:c>
      <x:c r="E553" t="str">
        <x:v>Mul_mg3</x:v>
      </x:c>
      <x:c r="F553" s="17" t="n">
        <x:v>19.068907</x:v>
      </x:c>
    </x:row>
    <x:row r="554">
      <x:c r="A554" t="str">
        <x:v>ABC</x:v>
      </x:c>
      <x:c r="B554" t="str">
        <x:v>TRINITY_DN12134_c0_g1</x:v>
      </x:c>
      <x:c r="C554" t="str">
        <x:v>Dan</x:v>
      </x:c>
      <x:c r="D554" t="n">
        <x:v>1</x:v>
      </x:c>
      <x:c r="E554" t="str">
        <x:v>Dan_mg1</x:v>
      </x:c>
      <x:c r="F554" s="17" t="n">
        <x:v>0.2968</x:v>
      </x:c>
    </x:row>
    <x:row r="555">
      <x:c r="A555" t="str">
        <x:v>ABC</x:v>
      </x:c>
      <x:c r="B555" t="str">
        <x:v>TRINITY_DN12134_c0_g1</x:v>
      </x:c>
      <x:c r="C555" t="str">
        <x:v>Dan</x:v>
      </x:c>
      <x:c r="D555" t="n">
        <x:v>2</x:v>
      </x:c>
      <x:c r="E555" t="str">
        <x:v>Dan_mg2</x:v>
      </x:c>
      <x:c r="F555" s="17" t="n">
        <x:v>0.344891</x:v>
      </x:c>
    </x:row>
    <x:row r="556">
      <x:c r="A556" t="str">
        <x:v>ABC</x:v>
      </x:c>
      <x:c r="B556" t="str">
        <x:v>TRINITY_DN12134_c0_g1</x:v>
      </x:c>
      <x:c r="C556" t="str">
        <x:v>Dan</x:v>
      </x:c>
      <x:c r="D556" t="n">
        <x:v>3</x:v>
      </x:c>
      <x:c r="E556" t="str">
        <x:v>Dan_mg3</x:v>
      </x:c>
      <x:c r="F556" s="17" t="n">
        <x:v>0.34374</x:v>
      </x:c>
    </x:row>
    <x:row r="557">
      <x:c r="A557" t="str">
        <x:v>ABC</x:v>
      </x:c>
      <x:c r="B557" t="str">
        <x:v>TRINITY_DN12134_c0_g1</x:v>
      </x:c>
      <x:c r="C557" t="str">
        <x:v>Mul</x:v>
      </x:c>
      <x:c r="D557" t="n">
        <x:v>1</x:v>
      </x:c>
      <x:c r="E557" t="str">
        <x:v>Mul_mg1</x:v>
      </x:c>
      <x:c r="F557" s="17" t="n">
        <x:v>0.640061</x:v>
      </x:c>
    </x:row>
    <x:row r="558">
      <x:c r="A558" t="str">
        <x:v>ABC</x:v>
      </x:c>
      <x:c r="B558" t="str">
        <x:v>TRINITY_DN12134_c0_g1</x:v>
      </x:c>
      <x:c r="C558" t="str">
        <x:v>Mul</x:v>
      </x:c>
      <x:c r="D558" t="n">
        <x:v>2</x:v>
      </x:c>
      <x:c r="E558" t="str">
        <x:v>Mul_mg2</x:v>
      </x:c>
      <x:c r="F558" s="17" t="n">
        <x:v>1.23186</x:v>
      </x:c>
    </x:row>
    <x:row r="559">
      <x:c r="A559" t="str">
        <x:v>ABC</x:v>
      </x:c>
      <x:c r="B559" t="str">
        <x:v>TRINITY_DN12134_c0_g1</x:v>
      </x:c>
      <x:c r="C559" t="str">
        <x:v>Mul</x:v>
      </x:c>
      <x:c r="D559" t="n">
        <x:v>3</x:v>
      </x:c>
      <x:c r="E559" t="str">
        <x:v>Mul_mg3</x:v>
      </x:c>
      <x:c r="F559" s="17" t="n">
        <x:v>0.684505</x:v>
      </x:c>
    </x:row>
    <x:row r="560">
      <x:c r="A560" t="str">
        <x:v>ABC</x:v>
      </x:c>
      <x:c r="B560" t="str">
        <x:v>TRINITY_DN12905_c0_g2</x:v>
      </x:c>
      <x:c r="C560" t="str">
        <x:v>Dan</x:v>
      </x:c>
      <x:c r="D560" t="n">
        <x:v>1</x:v>
      </x:c>
      <x:c r="E560" t="str">
        <x:v>Dan_mg1</x:v>
      </x:c>
      <x:c r="F560" s="17" t="n">
        <x:v>0.129634</x:v>
      </x:c>
    </x:row>
    <x:row r="561">
      <x:c r="A561" t="str">
        <x:v>ABC</x:v>
      </x:c>
      <x:c r="B561" t="str">
        <x:v>TRINITY_DN12905_c0_g2</x:v>
      </x:c>
      <x:c r="C561" t="str">
        <x:v>Dan</x:v>
      </x:c>
      <x:c r="D561" t="n">
        <x:v>2</x:v>
      </x:c>
      <x:c r="E561" t="str">
        <x:v>Dan_mg2</x:v>
      </x:c>
      <x:c r="F561" s="17" t="n">
        <x:v>0.204889</x:v>
      </x:c>
    </x:row>
    <x:row r="562">
      <x:c r="A562" t="str">
        <x:v>ABC</x:v>
      </x:c>
      <x:c r="B562" t="str">
        <x:v>TRINITY_DN12905_c0_g2</x:v>
      </x:c>
      <x:c r="C562" t="str">
        <x:v>Dan</x:v>
      </x:c>
      <x:c r="D562" t="n">
        <x:v>3</x:v>
      </x:c>
      <x:c r="E562" t="str">
        <x:v>Dan_mg3</x:v>
      </x:c>
      <x:c r="F562" s="17" t="n">
        <x:v>0.087326</x:v>
      </x:c>
    </x:row>
    <x:row r="563">
      <x:c r="A563" t="str">
        <x:v>ABC</x:v>
      </x:c>
      <x:c r="B563" t="str">
        <x:v>TRINITY_DN12905_c0_g2</x:v>
      </x:c>
      <x:c r="C563" t="str">
        <x:v>Mul</x:v>
      </x:c>
      <x:c r="D563" t="n">
        <x:v>1</x:v>
      </x:c>
      <x:c r="E563" t="str">
        <x:v>Mul_mg1</x:v>
      </x:c>
      <x:c r="F563" s="17" t="n">
        <x:v>0.18942399999999998</x:v>
      </x:c>
    </x:row>
    <x:row r="564">
      <x:c r="A564" t="str">
        <x:v>ABC</x:v>
      </x:c>
      <x:c r="B564" t="str">
        <x:v>TRINITY_DN12905_c0_g2</x:v>
      </x:c>
      <x:c r="C564" t="str">
        <x:v>Mul</x:v>
      </x:c>
      <x:c r="D564" t="n">
        <x:v>2</x:v>
      </x:c>
      <x:c r="E564" t="str">
        <x:v>Mul_mg2</x:v>
      </x:c>
      <x:c r="F564" s="17" t="n">
        <x:v>0.151115</x:v>
      </x:c>
    </x:row>
    <x:row r="565">
      <x:c r="A565" t="str">
        <x:v>ABC</x:v>
      </x:c>
      <x:c r="B565" t="str">
        <x:v>TRINITY_DN12905_c0_g2</x:v>
      </x:c>
      <x:c r="C565" t="str">
        <x:v>Mul</x:v>
      </x:c>
      <x:c r="D565" t="n">
        <x:v>3</x:v>
      </x:c>
      <x:c r="E565" t="str">
        <x:v>Mul_mg3</x:v>
      </x:c>
      <x:c r="F565" s="17" t="n">
        <x:v>0.159671</x:v>
      </x:c>
    </x:row>
    <x:row r="566">
      <x:c r="A566" t="str">
        <x:v>ABC</x:v>
      </x:c>
      <x:c r="B566" t="str">
        <x:v>TRINITY_DN13145_c0_g1</x:v>
      </x:c>
      <x:c r="C566" t="str">
        <x:v>Dan</x:v>
      </x:c>
      <x:c r="D566" t="n">
        <x:v>1</x:v>
      </x:c>
      <x:c r="E566" t="str">
        <x:v>Dan_mg1</x:v>
      </x:c>
      <x:c r="F566" s="17" t="n">
        <x:v>0.145776</x:v>
      </x:c>
    </x:row>
    <x:row r="567">
      <x:c r="A567" t="str">
        <x:v>ABC</x:v>
      </x:c>
      <x:c r="B567" t="str">
        <x:v>TRINITY_DN13145_c0_g1</x:v>
      </x:c>
      <x:c r="C567" t="str">
        <x:v>Dan</x:v>
      </x:c>
      <x:c r="D567" t="n">
        <x:v>2</x:v>
      </x:c>
      <x:c r="E567" t="str">
        <x:v>Dan_mg2</x:v>
      </x:c>
      <x:c r="F567" s="17" t="n">
        <x:v>0.319373</x:v>
      </x:c>
    </x:row>
    <x:row r="568">
      <x:c r="A568" t="str">
        <x:v>ABC</x:v>
      </x:c>
      <x:c r="B568" t="str">
        <x:v>TRINITY_DN13145_c0_g1</x:v>
      </x:c>
      <x:c r="C568" t="str">
        <x:v>Dan</x:v>
      </x:c>
      <x:c r="D568" t="n">
        <x:v>3</x:v>
      </x:c>
      <x:c r="E568" t="str">
        <x:v>Dan_mg3</x:v>
      </x:c>
      <x:c r="F568" s="17" t="n">
        <x:v>0.227135</x:v>
      </x:c>
    </x:row>
    <x:row r="569">
      <x:c r="A569" t="str">
        <x:v>ABC</x:v>
      </x:c>
      <x:c r="B569" t="str">
        <x:v>TRINITY_DN13145_c0_g1</x:v>
      </x:c>
      <x:c r="C569" t="str">
        <x:v>Mul</x:v>
      </x:c>
      <x:c r="D569" t="n">
        <x:v>1</x:v>
      </x:c>
      <x:c r="E569" t="str">
        <x:v>Mul_mg1</x:v>
      </x:c>
      <x:c r="F569" s="17" t="n">
        <x:v>0.564971</x:v>
      </x:c>
    </x:row>
    <x:row r="570">
      <x:c r="A570" t="str">
        <x:v>ABC</x:v>
      </x:c>
      <x:c r="B570" t="str">
        <x:v>TRINITY_DN13145_c0_g1</x:v>
      </x:c>
      <x:c r="C570" t="str">
        <x:v>Mul</x:v>
      </x:c>
      <x:c r="D570" t="n">
        <x:v>2</x:v>
      </x:c>
      <x:c r="E570" t="str">
        <x:v>Mul_mg2</x:v>
      </x:c>
      <x:c r="F570" s="17" t="n">
        <x:v>0.715145</x:v>
      </x:c>
    </x:row>
    <x:row r="571">
      <x:c r="A571" t="str">
        <x:v>ABC</x:v>
      </x:c>
      <x:c r="B571" t="str">
        <x:v>TRINITY_DN13145_c0_g1</x:v>
      </x:c>
      <x:c r="C571" t="str">
        <x:v>Mul</x:v>
      </x:c>
      <x:c r="D571" t="n">
        <x:v>3</x:v>
      </x:c>
      <x:c r="E571" t="str">
        <x:v>Mul_mg3</x:v>
      </x:c>
      <x:c r="F571" s="17" t="n">
        <x:v>0.806998</x:v>
      </x:c>
    </x:row>
    <x:row r="572">
      <x:c r="A572" t="str">
        <x:v>ABC</x:v>
      </x:c>
      <x:c r="B572" t="str">
        <x:v>TRINITY_DN1442_c0_g1</x:v>
      </x:c>
      <x:c r="C572" t="str">
        <x:v>Dan</x:v>
      </x:c>
      <x:c r="D572" t="n">
        <x:v>1</x:v>
      </x:c>
      <x:c r="E572" t="str">
        <x:v>Dan_mg1</x:v>
      </x:c>
      <x:c r="F572" s="17" t="n">
        <x:v>2.0189470000000003</x:v>
      </x:c>
    </x:row>
    <x:row r="573">
      <x:c r="A573" t="str">
        <x:v>ABC</x:v>
      </x:c>
      <x:c r="B573" t="str">
        <x:v>TRINITY_DN1442_c0_g1</x:v>
      </x:c>
      <x:c r="C573" t="str">
        <x:v>Dan</x:v>
      </x:c>
      <x:c r="D573" t="n">
        <x:v>2</x:v>
      </x:c>
      <x:c r="E573" t="str">
        <x:v>Dan_mg2</x:v>
      </x:c>
      <x:c r="F573" s="17" t="n">
        <x:v>4.206286</x:v>
      </x:c>
    </x:row>
    <x:row r="574">
      <x:c r="A574" t="str">
        <x:v>ABC</x:v>
      </x:c>
      <x:c r="B574" t="str">
        <x:v>TRINITY_DN1442_c0_g1</x:v>
      </x:c>
      <x:c r="C574" t="str">
        <x:v>Dan</x:v>
      </x:c>
      <x:c r="D574" t="n">
        <x:v>3</x:v>
      </x:c>
      <x:c r="E574" t="str">
        <x:v>Dan_mg3</x:v>
      </x:c>
      <x:c r="F574" s="17" t="n">
        <x:v>4.898499</x:v>
      </x:c>
    </x:row>
    <x:row r="575">
      <x:c r="A575" t="str">
        <x:v>ABC</x:v>
      </x:c>
      <x:c r="B575" t="str">
        <x:v>TRINITY_DN1442_c0_g1</x:v>
      </x:c>
      <x:c r="C575" t="str">
        <x:v>Mul</x:v>
      </x:c>
      <x:c r="D575" t="n">
        <x:v>1</x:v>
      </x:c>
      <x:c r="E575" t="str">
        <x:v>Mul_mg1</x:v>
      </x:c>
      <x:c r="F575" s="17" t="n">
        <x:v>4.056814</x:v>
      </x:c>
    </x:row>
    <x:row r="576">
      <x:c r="A576" t="str">
        <x:v>ABC</x:v>
      </x:c>
      <x:c r="B576" t="str">
        <x:v>TRINITY_DN1442_c0_g1</x:v>
      </x:c>
      <x:c r="C576" t="str">
        <x:v>Mul</x:v>
      </x:c>
      <x:c r="D576" t="n">
        <x:v>2</x:v>
      </x:c>
      <x:c r="E576" t="str">
        <x:v>Mul_mg2</x:v>
      </x:c>
      <x:c r="F576" s="17" t="n">
        <x:v>3.50937</x:v>
      </x:c>
    </x:row>
    <x:row r="577">
      <x:c r="A577" t="str">
        <x:v>ABC</x:v>
      </x:c>
      <x:c r="B577" t="str">
        <x:v>TRINITY_DN1442_c0_g1</x:v>
      </x:c>
      <x:c r="C577" t="str">
        <x:v>Mul</x:v>
      </x:c>
      <x:c r="D577" t="n">
        <x:v>3</x:v>
      </x:c>
      <x:c r="E577" t="str">
        <x:v>Mul_mg3</x:v>
      </x:c>
      <x:c r="F577" s="17" t="n">
        <x:v>1.8502159999999999</x:v>
      </x:c>
    </x:row>
    <x:row r="578">
      <x:c r="A578" t="str">
        <x:v>ABC</x:v>
      </x:c>
      <x:c r="B578" t="str">
        <x:v>TRINITY_DN16854_c0_g1</x:v>
      </x:c>
      <x:c r="C578" t="str">
        <x:v>Dan</x:v>
      </x:c>
      <x:c r="D578" t="n">
        <x:v>1</x:v>
      </x:c>
      <x:c r="E578" t="str">
        <x:v>Dan_mg1</x:v>
      </x:c>
      <x:c r="F578" s="17" t="n">
        <x:v>0.080382</x:v>
      </x:c>
    </x:row>
    <x:row r="579">
      <x:c r="A579" t="str">
        <x:v>ABC</x:v>
      </x:c>
      <x:c r="B579" t="str">
        <x:v>TRINITY_DN16854_c0_g1</x:v>
      </x:c>
      <x:c r="C579" t="str">
        <x:v>Dan</x:v>
      </x:c>
      <x:c r="D579" t="n">
        <x:v>2</x:v>
      </x:c>
      <x:c r="E579" t="str">
        <x:v>Dan_mg2</x:v>
      </x:c>
      <x:c r="F579" s="17" t="n">
        <x:v>0.061393</x:v>
      </x:c>
    </x:row>
    <x:row r="580">
      <x:c r="A580" t="str">
        <x:v>ABC</x:v>
      </x:c>
      <x:c r="B580" t="str">
        <x:v>TRINITY_DN16854_c0_g1</x:v>
      </x:c>
      <x:c r="C580" t="str">
        <x:v>Dan</x:v>
      </x:c>
      <x:c r="D580" t="n">
        <x:v>3</x:v>
      </x:c>
      <x:c r="E580" t="str">
        <x:v>Dan_mg3</x:v>
      </x:c>
      <x:c r="F580" s="17" t="n">
        <x:v>0.084627</x:v>
      </x:c>
    </x:row>
    <x:row r="581">
      <x:c r="A581" t="str">
        <x:v>ABC</x:v>
      </x:c>
      <x:c r="B581" t="str">
        <x:v>TRINITY_DN16854_c0_g1</x:v>
      </x:c>
      <x:c r="C581" t="str">
        <x:v>Mul</x:v>
      </x:c>
      <x:c r="D581" t="n">
        <x:v>1</x:v>
      </x:c>
      <x:c r="E581" t="str">
        <x:v>Mul_mg1</x:v>
      </x:c>
      <x:c r="F581" s="17" t="n">
        <x:v>0.067196</x:v>
      </x:c>
    </x:row>
    <x:row r="582">
      <x:c r="A582" t="str">
        <x:v>ABC</x:v>
      </x:c>
      <x:c r="B582" t="str">
        <x:v>TRINITY_DN16854_c0_g1</x:v>
      </x:c>
      <x:c r="C582" t="str">
        <x:v>Mul</x:v>
      </x:c>
      <x:c r="D582" t="n">
        <x:v>2</x:v>
      </x:c>
      <x:c r="E582" t="str">
        <x:v>Mul_mg2</x:v>
      </x:c>
      <x:c r="F582" s="17" t="n">
        <x:v>0.094155</x:v>
      </x:c>
    </x:row>
    <x:row r="583">
      <x:c r="A583" t="str">
        <x:v>ABC</x:v>
      </x:c>
      <x:c r="B583" t="str">
        <x:v>TRINITY_DN16854_c0_g1</x:v>
      </x:c>
      <x:c r="C583" t="str">
        <x:v>Mul</x:v>
      </x:c>
      <x:c r="D583" t="n">
        <x:v>3</x:v>
      </x:c>
      <x:c r="E583" t="str">
        <x:v>Mul_mg3</x:v>
      </x:c>
      <x:c r="F583" s="17" t="n">
        <x:v>0.181649</x:v>
      </x:c>
    </x:row>
    <x:row r="584">
      <x:c r="A584" t="str">
        <x:v>ABC</x:v>
      </x:c>
      <x:c r="B584" t="str">
        <x:v>TRINITY_DN16854_c0_g2</x:v>
      </x:c>
      <x:c r="C584" t="str">
        <x:v>Dan</x:v>
      </x:c>
      <x:c r="D584" t="n">
        <x:v>1</x:v>
      </x:c>
      <x:c r="E584" t="str">
        <x:v>Dan_mg1</x:v>
      </x:c>
      <x:c r="F584" s="17" t="n">
        <x:v>0.08494499999999999</x:v>
      </x:c>
    </x:row>
    <x:row r="585">
      <x:c r="A585" t="str">
        <x:v>ABC</x:v>
      </x:c>
      <x:c r="B585" t="str">
        <x:v>TRINITY_DN16854_c0_g2</x:v>
      </x:c>
      <x:c r="C585" t="str">
        <x:v>Dan</x:v>
      </x:c>
      <x:c r="D585" t="n">
        <x:v>2</x:v>
      </x:c>
      <x:c r="E585" t="str">
        <x:v>Dan_mg2</x:v>
      </x:c>
      <x:c r="F585" s="17" t="n">
        <x:v>0.104567</x:v>
      </x:c>
    </x:row>
    <x:row r="586">
      <x:c r="A586" t="str">
        <x:v>ABC</x:v>
      </x:c>
      <x:c r="B586" t="str">
        <x:v>TRINITY_DN16854_c0_g2</x:v>
      </x:c>
      <x:c r="C586" t="str">
        <x:v>Dan</x:v>
      </x:c>
      <x:c r="D586" t="n">
        <x:v>3</x:v>
      </x:c>
      <x:c r="E586" t="str">
        <x:v>Dan_mg3</x:v>
      </x:c>
      <x:c r="F586" s="17" t="n">
        <x:v>0.086847</x:v>
      </x:c>
    </x:row>
    <x:row r="587">
      <x:c r="A587" t="str">
        <x:v>ABC</x:v>
      </x:c>
      <x:c r="B587" t="str">
        <x:v>TRINITY_DN16854_c0_g2</x:v>
      </x:c>
      <x:c r="C587" t="str">
        <x:v>Mul</x:v>
      </x:c>
      <x:c r="D587" t="n">
        <x:v>1</x:v>
      </x:c>
      <x:c r="E587" t="str">
        <x:v>Mul_mg1</x:v>
      </x:c>
      <x:c r="F587" s="17" t="n">
        <x:v>0.126491</x:v>
      </x:c>
    </x:row>
    <x:row r="588">
      <x:c r="A588" t="str">
        <x:v>ABC</x:v>
      </x:c>
      <x:c r="B588" t="str">
        <x:v>TRINITY_DN16854_c0_g2</x:v>
      </x:c>
      <x:c r="C588" t="str">
        <x:v>Mul</x:v>
      </x:c>
      <x:c r="D588" t="n">
        <x:v>2</x:v>
      </x:c>
      <x:c r="E588" t="str">
        <x:v>Mul_mg2</x:v>
      </x:c>
      <x:c r="F588" s="17" t="n">
        <x:v>0.045468</x:v>
      </x:c>
    </x:row>
    <x:row r="589">
      <x:c r="A589" t="str">
        <x:v>ABC</x:v>
      </x:c>
      <x:c r="B589" t="str">
        <x:v>TRINITY_DN16854_c0_g2</x:v>
      </x:c>
      <x:c r="C589" t="str">
        <x:v>Mul</x:v>
      </x:c>
      <x:c r="D589" t="n">
        <x:v>3</x:v>
      </x:c>
      <x:c r="E589" t="str">
        <x:v>Mul_mg3</x:v>
      </x:c>
      <x:c r="F589" s="17" t="n">
        <x:v>0.07756</x:v>
      </x:c>
    </x:row>
    <x:row r="590">
      <x:c r="A590" t="str">
        <x:v>ABC</x:v>
      </x:c>
      <x:c r="B590" t="str">
        <x:v>TRINITY_DN16854_c0_g4</x:v>
      </x:c>
      <x:c r="C590" t="str">
        <x:v>Dan</x:v>
      </x:c>
      <x:c r="D590" t="n">
        <x:v>1</x:v>
      </x:c>
      <x:c r="E590" t="str">
        <x:v>Dan_mg1</x:v>
      </x:c>
      <x:c r="F590" s="17" t="n">
        <x:v>0.116129</x:v>
      </x:c>
    </x:row>
    <x:row r="591">
      <x:c r="A591" t="str">
        <x:v>ABC</x:v>
      </x:c>
      <x:c r="B591" t="str">
        <x:v>TRINITY_DN16854_c0_g4</x:v>
      </x:c>
      <x:c r="C591" t="str">
        <x:v>Dan</x:v>
      </x:c>
      <x:c r="D591" t="n">
        <x:v>2</x:v>
      </x:c>
      <x:c r="E591" t="str">
        <x:v>Dan_mg2</x:v>
      </x:c>
      <x:c r="F591" s="17" t="n">
        <x:v>0.143279</x:v>
      </x:c>
    </x:row>
    <x:row r="592">
      <x:c r="A592" t="str">
        <x:v>ABC</x:v>
      </x:c>
      <x:c r="B592" t="str">
        <x:v>TRINITY_DN16854_c0_g4</x:v>
      </x:c>
      <x:c r="C592" t="str">
        <x:v>Dan</x:v>
      </x:c>
      <x:c r="D592" t="n">
        <x:v>3</x:v>
      </x:c>
      <x:c r="E592" t="str">
        <x:v>Dan_mg3</x:v>
      </x:c>
      <x:c r="F592" s="17" t="n">
        <x:v>0.208288</x:v>
      </x:c>
    </x:row>
    <x:row r="593">
      <x:c r="A593" t="str">
        <x:v>ABC</x:v>
      </x:c>
      <x:c r="B593" t="str">
        <x:v>TRINITY_DN16854_c0_g4</x:v>
      </x:c>
      <x:c r="C593" t="str">
        <x:v>Mul</x:v>
      </x:c>
      <x:c r="D593" t="n">
        <x:v>1</x:v>
      </x:c>
      <x:c r="E593" t="str">
        <x:v>Mul_mg1</x:v>
      </x:c>
      <x:c r="F593" s="17" t="n">
        <x:v>0.092049</x:v>
      </x:c>
    </x:row>
    <x:row r="594">
      <x:c r="A594" t="str">
        <x:v>ABC</x:v>
      </x:c>
      <x:c r="B594" t="str">
        <x:v>TRINITY_DN16854_c0_g4</x:v>
      </x:c>
      <x:c r="C594" t="str">
        <x:v>Mul</x:v>
      </x:c>
      <x:c r="D594" t="n">
        <x:v>2</x:v>
      </x:c>
      <x:c r="E594" t="str">
        <x:v>Mul_mg2</x:v>
      </x:c>
      <x:c r="F594" s="17" t="n">
        <x:v>0.085077</x:v>
      </x:c>
    </x:row>
    <x:row r="595">
      <x:c r="A595" t="str">
        <x:v>ABC</x:v>
      </x:c>
      <x:c r="B595" t="str">
        <x:v>TRINITY_DN16854_c0_g4</x:v>
      </x:c>
      <x:c r="C595" t="str">
        <x:v>Mul</x:v>
      </x:c>
      <x:c r="D595" t="n">
        <x:v>3</x:v>
      </x:c>
      <x:c r="E595" t="str">
        <x:v>Mul_mg3</x:v>
      </x:c>
      <x:c r="F595" s="17" t="n">
        <x:v>0.10123</x:v>
      </x:c>
    </x:row>
    <x:row r="596">
      <x:c r="A596" t="str">
        <x:v>ABC</x:v>
      </x:c>
      <x:c r="B596" t="str">
        <x:v>TRINITY_DN16854_c0_g5</x:v>
      </x:c>
      <x:c r="C596" t="str">
        <x:v>Dan</x:v>
      </x:c>
      <x:c r="D596" t="n">
        <x:v>1</x:v>
      </x:c>
      <x:c r="E596" t="str">
        <x:v>Dan_mg1</x:v>
      </x:c>
      <x:c r="F596" s="17" t="n">
        <x:v>0</x:v>
      </x:c>
    </x:row>
    <x:row r="597">
      <x:c r="A597" t="str">
        <x:v>ABC</x:v>
      </x:c>
      <x:c r="B597" t="str">
        <x:v>TRINITY_DN16854_c0_g5</x:v>
      </x:c>
      <x:c r="C597" t="str">
        <x:v>Dan</x:v>
      </x:c>
      <x:c r="D597" t="n">
        <x:v>2</x:v>
      </x:c>
      <x:c r="E597" t="str">
        <x:v>Dan_mg2</x:v>
      </x:c>
      <x:c r="F597" s="17" t="n">
        <x:v>0.193415</x:v>
      </x:c>
    </x:row>
    <x:row r="598">
      <x:c r="A598" t="str">
        <x:v>ABC</x:v>
      </x:c>
      <x:c r="B598" t="str">
        <x:v>TRINITY_DN16854_c0_g5</x:v>
      </x:c>
      <x:c r="C598" t="str">
        <x:v>Dan</x:v>
      </x:c>
      <x:c r="D598" t="n">
        <x:v>3</x:v>
      </x:c>
      <x:c r="E598" t="str">
        <x:v>Dan_mg3</x:v>
      </x:c>
      <x:c r="F598" s="17" t="n">
        <x:v>0.080681</x:v>
      </x:c>
    </x:row>
    <x:row r="599">
      <x:c r="A599" t="str">
        <x:v>ABC</x:v>
      </x:c>
      <x:c r="B599" t="str">
        <x:v>TRINITY_DN16854_c0_g5</x:v>
      </x:c>
      <x:c r="C599" t="str">
        <x:v>Mul</x:v>
      </x:c>
      <x:c r="D599" t="n">
        <x:v>1</x:v>
      </x:c>
      <x:c r="E599" t="str">
        <x:v>Mul_mg1</x:v>
      </x:c>
      <x:c r="F599" s="17" t="n">
        <x:v>0.238216</x:v>
      </x:c>
    </x:row>
    <x:row r="600">
      <x:c r="A600" t="str">
        <x:v>ABC</x:v>
      </x:c>
      <x:c r="B600" t="str">
        <x:v>TRINITY_DN16854_c0_g5</x:v>
      </x:c>
      <x:c r="C600" t="str">
        <x:v>Mul</x:v>
      </x:c>
      <x:c r="D600" t="n">
        <x:v>2</x:v>
      </x:c>
      <x:c r="E600" t="str">
        <x:v>Mul_mg2</x:v>
      </x:c>
      <x:c r="F600" s="17" t="n">
        <x:v>0.108634</x:v>
      </x:c>
    </x:row>
    <x:row r="601">
      <x:c r="A601" t="str">
        <x:v>ABC</x:v>
      </x:c>
      <x:c r="B601" t="str">
        <x:v>TRINITY_DN16854_c0_g5</x:v>
      </x:c>
      <x:c r="C601" t="str">
        <x:v>Mul</x:v>
      </x:c>
      <x:c r="D601" t="n">
        <x:v>3</x:v>
      </x:c>
      <x:c r="E601" t="str">
        <x:v>Mul_mg3</x:v>
      </x:c>
      <x:c r="F601" s="17" t="n">
        <x:v>0</x:v>
      </x:c>
    </x:row>
    <x:row r="602">
      <x:c r="A602" t="str">
        <x:v>ABC</x:v>
      </x:c>
      <x:c r="B602" t="str">
        <x:v>TRINITY_DN18075_c0_g1</x:v>
      </x:c>
      <x:c r="C602" t="str">
        <x:v>Dan</x:v>
      </x:c>
      <x:c r="D602" t="n">
        <x:v>1</x:v>
      </x:c>
      <x:c r="E602" t="str">
        <x:v>Dan_mg1</x:v>
      </x:c>
      <x:c r="F602" s="17" t="n">
        <x:v>0.166771</x:v>
      </x:c>
    </x:row>
    <x:row r="603">
      <x:c r="A603" t="str">
        <x:v>ABC</x:v>
      </x:c>
      <x:c r="B603" t="str">
        <x:v>TRINITY_DN18075_c0_g1</x:v>
      </x:c>
      <x:c r="C603" t="str">
        <x:v>Dan</x:v>
      </x:c>
      <x:c r="D603" t="n">
        <x:v>2</x:v>
      </x:c>
      <x:c r="E603" t="str">
        <x:v>Dan_mg2</x:v>
      </x:c>
      <x:c r="F603" s="17" t="n">
        <x:v>0.556694</x:v>
      </x:c>
    </x:row>
    <x:row r="604">
      <x:c r="A604" t="str">
        <x:v>ABC</x:v>
      </x:c>
      <x:c r="B604" t="str">
        <x:v>TRINITY_DN18075_c0_g1</x:v>
      </x:c>
      <x:c r="C604" t="str">
        <x:v>Dan</x:v>
      </x:c>
      <x:c r="D604" t="n">
        <x:v>3</x:v>
      </x:c>
      <x:c r="E604" t="str">
        <x:v>Dan_mg3</x:v>
      </x:c>
      <x:c r="F604" s="17" t="n">
        <x:v>0.912225</x:v>
      </x:c>
    </x:row>
    <x:row r="605">
      <x:c r="A605" t="str">
        <x:v>ABC</x:v>
      </x:c>
      <x:c r="B605" t="str">
        <x:v>TRINITY_DN18075_c0_g1</x:v>
      </x:c>
      <x:c r="C605" t="str">
        <x:v>Mul</x:v>
      </x:c>
      <x:c r="D605" t="n">
        <x:v>1</x:v>
      </x:c>
      <x:c r="E605" t="str">
        <x:v>Mul_mg1</x:v>
      </x:c>
      <x:c r="F605" s="17" t="n">
        <x:v>0.816789</x:v>
      </x:c>
    </x:row>
    <x:row r="606">
      <x:c r="A606" t="str">
        <x:v>ABC</x:v>
      </x:c>
      <x:c r="B606" t="str">
        <x:v>TRINITY_DN18075_c0_g1</x:v>
      </x:c>
      <x:c r="C606" t="str">
        <x:v>Mul</x:v>
      </x:c>
      <x:c r="D606" t="n">
        <x:v>2</x:v>
      </x:c>
      <x:c r="E606" t="str">
        <x:v>Mul_mg2</x:v>
      </x:c>
      <x:c r="F606" s="17" t="n">
        <x:v>0.476444</x:v>
      </x:c>
    </x:row>
    <x:row r="607">
      <x:c r="A607" t="str">
        <x:v>ABC</x:v>
      </x:c>
      <x:c r="B607" t="str">
        <x:v>TRINITY_DN18075_c0_g1</x:v>
      </x:c>
      <x:c r="C607" t="str">
        <x:v>Mul</x:v>
      </x:c>
      <x:c r="D607" t="n">
        <x:v>3</x:v>
      </x:c>
      <x:c r="E607" t="str">
        <x:v>Mul_mg3</x:v>
      </x:c>
      <x:c r="F607" s="17" t="n">
        <x:v>0.223954</x:v>
      </x:c>
    </x:row>
    <x:row r="608">
      <x:c r="A608" t="str">
        <x:v>ABC</x:v>
      </x:c>
      <x:c r="B608" t="str">
        <x:v>TRINITY_DN18452_c0_g1</x:v>
      </x:c>
      <x:c r="C608" t="str">
        <x:v>Dan</x:v>
      </x:c>
      <x:c r="D608" t="n">
        <x:v>1</x:v>
      </x:c>
      <x:c r="E608" t="str">
        <x:v>Dan_mg1</x:v>
      </x:c>
      <x:c r="F608" s="17" t="n">
        <x:v>0.504035</x:v>
      </x:c>
    </x:row>
    <x:row r="609">
      <x:c r="A609" t="str">
        <x:v>ABC</x:v>
      </x:c>
      <x:c r="B609" t="str">
        <x:v>TRINITY_DN18452_c0_g1</x:v>
      </x:c>
      <x:c r="C609" t="str">
        <x:v>Dan</x:v>
      </x:c>
      <x:c r="D609" t="n">
        <x:v>2</x:v>
      </x:c>
      <x:c r="E609" t="str">
        <x:v>Dan_mg2</x:v>
      </x:c>
      <x:c r="F609" s="17" t="n">
        <x:v>0.771927</x:v>
      </x:c>
    </x:row>
    <x:row r="610">
      <x:c r="A610" t="str">
        <x:v>ABC</x:v>
      </x:c>
      <x:c r="B610" t="str">
        <x:v>TRINITY_DN18452_c0_g1</x:v>
      </x:c>
      <x:c r="C610" t="str">
        <x:v>Dan</x:v>
      </x:c>
      <x:c r="D610" t="n">
        <x:v>3</x:v>
      </x:c>
      <x:c r="E610" t="str">
        <x:v>Dan_mg3</x:v>
      </x:c>
      <x:c r="F610" s="17" t="n">
        <x:v>0.550454</x:v>
      </x:c>
    </x:row>
    <x:row r="611">
      <x:c r="A611" t="str">
        <x:v>ABC</x:v>
      </x:c>
      <x:c r="B611" t="str">
        <x:v>TRINITY_DN18452_c0_g1</x:v>
      </x:c>
      <x:c r="C611" t="str">
        <x:v>Mul</x:v>
      </x:c>
      <x:c r="D611" t="n">
        <x:v>1</x:v>
      </x:c>
      <x:c r="E611" t="str">
        <x:v>Mul_mg1</x:v>
      </x:c>
      <x:c r="F611" s="17" t="n">
        <x:v>0.970993</x:v>
      </x:c>
    </x:row>
    <x:row r="612">
      <x:c r="A612" t="str">
        <x:v>ABC</x:v>
      </x:c>
      <x:c r="B612" t="str">
        <x:v>TRINITY_DN18452_c0_g1</x:v>
      </x:c>
      <x:c r="C612" t="str">
        <x:v>Mul</x:v>
      </x:c>
      <x:c r="D612" t="n">
        <x:v>2</x:v>
      </x:c>
      <x:c r="E612" t="str">
        <x:v>Mul_mg2</x:v>
      </x:c>
      <x:c r="F612" s="17" t="n">
        <x:v>0.472932</x:v>
      </x:c>
    </x:row>
    <x:row r="613">
      <x:c r="A613" t="str">
        <x:v>ABC</x:v>
      </x:c>
      <x:c r="B613" t="str">
        <x:v>TRINITY_DN18452_c0_g1</x:v>
      </x:c>
      <x:c r="C613" t="str">
        <x:v>Mul</x:v>
      </x:c>
      <x:c r="D613" t="n">
        <x:v>3</x:v>
      </x:c>
      <x:c r="E613" t="str">
        <x:v>Mul_mg3</x:v>
      </x:c>
      <x:c r="F613" s="17" t="n">
        <x:v>0.479729</x:v>
      </x:c>
    </x:row>
    <x:row r="614">
      <x:c r="A614" t="str">
        <x:v>ABC</x:v>
      </x:c>
      <x:c r="B614" t="str">
        <x:v>TRINITY_DN18570_c0_g1</x:v>
      </x:c>
      <x:c r="C614" t="str">
        <x:v>Dan</x:v>
      </x:c>
      <x:c r="D614" t="n">
        <x:v>1</x:v>
      </x:c>
      <x:c r="E614" t="str">
        <x:v>Dan_mg1</x:v>
      </x:c>
      <x:c r="F614" s="17" t="n">
        <x:v>0.083872</x:v>
      </x:c>
    </x:row>
    <x:row r="615">
      <x:c r="A615" t="str">
        <x:v>ABC</x:v>
      </x:c>
      <x:c r="B615" t="str">
        <x:v>TRINITY_DN18570_c0_g1</x:v>
      </x:c>
      <x:c r="C615" t="str">
        <x:v>Dan</x:v>
      </x:c>
      <x:c r="D615" t="n">
        <x:v>2</x:v>
      </x:c>
      <x:c r="E615" t="str">
        <x:v>Dan_mg2</x:v>
      </x:c>
      <x:c r="F615" s="17" t="n">
        <x:v>0.060324</x:v>
      </x:c>
    </x:row>
    <x:row r="616">
      <x:c r="A616" t="str">
        <x:v>ABC</x:v>
      </x:c>
      <x:c r="B616" t="str">
        <x:v>TRINITY_DN18570_c0_g1</x:v>
      </x:c>
      <x:c r="C616" t="str">
        <x:v>Dan</x:v>
      </x:c>
      <x:c r="D616" t="n">
        <x:v>3</x:v>
      </x:c>
      <x:c r="E616" t="str">
        <x:v>Dan_mg3</x:v>
      </x:c>
      <x:c r="F616" s="17" t="n">
        <x:v>0.053054</x:v>
      </x:c>
    </x:row>
    <x:row r="617">
      <x:c r="A617" t="str">
        <x:v>ABC</x:v>
      </x:c>
      <x:c r="B617" t="str">
        <x:v>TRINITY_DN18570_c0_g1</x:v>
      </x:c>
      <x:c r="C617" t="str">
        <x:v>Mul</x:v>
      </x:c>
      <x:c r="D617" t="n">
        <x:v>1</x:v>
      </x:c>
      <x:c r="E617" t="str">
        <x:v>Mul_mg1</x:v>
      </x:c>
      <x:c r="F617" s="17" t="n">
        <x:v>0</x:v>
      </x:c>
    </x:row>
    <x:row r="618">
      <x:c r="A618" t="str">
        <x:v>ABC</x:v>
      </x:c>
      <x:c r="B618" t="str">
        <x:v>TRINITY_DN18570_c0_g1</x:v>
      </x:c>
      <x:c r="C618" t="str">
        <x:v>Mul</x:v>
      </x:c>
      <x:c r="D618" t="n">
        <x:v>2</x:v>
      </x:c>
      <x:c r="E618" t="str">
        <x:v>Mul_mg2</x:v>
      </x:c>
      <x:c r="F618" s="17" t="n">
        <x:v>0.040639</x:v>
      </x:c>
    </x:row>
    <x:row r="619">
      <x:c r="A619" t="str">
        <x:v>ABC</x:v>
      </x:c>
      <x:c r="B619" t="str">
        <x:v>TRINITY_DN18570_c0_g1</x:v>
      </x:c>
      <x:c r="C619" t="str">
        <x:v>Mul</x:v>
      </x:c>
      <x:c r="D619" t="n">
        <x:v>3</x:v>
      </x:c>
      <x:c r="E619" t="str">
        <x:v>Mul_mg3</x:v>
      </x:c>
      <x:c r="F619" s="17" t="n">
        <x:v>0.34459700000000004</x:v>
      </x:c>
    </x:row>
    <x:row r="620">
      <x:c r="A620" t="str">
        <x:v>ABC</x:v>
      </x:c>
      <x:c r="B620" t="str">
        <x:v>TRINITY_DN20355_c0_g1</x:v>
      </x:c>
      <x:c r="C620" t="str">
        <x:v>Dan</x:v>
      </x:c>
      <x:c r="D620" t="n">
        <x:v>1</x:v>
      </x:c>
      <x:c r="E620" t="str">
        <x:v>Dan_mg1</x:v>
      </x:c>
      <x:c r="F620" s="17" t="n">
        <x:v>1.144471</x:v>
      </x:c>
    </x:row>
    <x:row r="621">
      <x:c r="A621" t="str">
        <x:v>ABC</x:v>
      </x:c>
      <x:c r="B621" t="str">
        <x:v>TRINITY_DN20355_c0_g1</x:v>
      </x:c>
      <x:c r="C621" t="str">
        <x:v>Dan</x:v>
      </x:c>
      <x:c r="D621" t="n">
        <x:v>2</x:v>
      </x:c>
      <x:c r="E621" t="str">
        <x:v>Dan_mg2</x:v>
      </x:c>
      <x:c r="F621" s="17" t="n">
        <x:v>1.064304</x:v>
      </x:c>
    </x:row>
    <x:row r="622">
      <x:c r="A622" t="str">
        <x:v>ABC</x:v>
      </x:c>
      <x:c r="B622" t="str">
        <x:v>TRINITY_DN20355_c0_g1</x:v>
      </x:c>
      <x:c r="C622" t="str">
        <x:v>Dan</x:v>
      </x:c>
      <x:c r="D622" t="n">
        <x:v>3</x:v>
      </x:c>
      <x:c r="E622" t="str">
        <x:v>Dan_mg3</x:v>
      </x:c>
      <x:c r="F622" s="17" t="n">
        <x:v>0.598611</x:v>
      </x:c>
    </x:row>
    <x:row r="623">
      <x:c r="A623" t="str">
        <x:v>ABC</x:v>
      </x:c>
      <x:c r="B623" t="str">
        <x:v>TRINITY_DN20355_c0_g1</x:v>
      </x:c>
      <x:c r="C623" t="str">
        <x:v>Mul</x:v>
      </x:c>
      <x:c r="D623" t="n">
        <x:v>1</x:v>
      </x:c>
      <x:c r="E623" t="str">
        <x:v>Mul_mg1</x:v>
      </x:c>
      <x:c r="F623" s="17" t="n">
        <x:v>0.48431</x:v>
      </x:c>
    </x:row>
    <x:row r="624">
      <x:c r="A624" t="str">
        <x:v>ABC</x:v>
      </x:c>
      <x:c r="B624" t="str">
        <x:v>TRINITY_DN20355_c0_g1</x:v>
      </x:c>
      <x:c r="C624" t="str">
        <x:v>Mul</x:v>
      </x:c>
      <x:c r="D624" t="n">
        <x:v>2</x:v>
      </x:c>
      <x:c r="E624" t="str">
        <x:v>Mul_mg2</x:v>
      </x:c>
      <x:c r="F624" s="17" t="n">
        <x:v>0.353588</x:v>
      </x:c>
    </x:row>
    <x:row r="625">
      <x:c r="A625" t="str">
        <x:v>ABC</x:v>
      </x:c>
      <x:c r="B625" t="str">
        <x:v>TRINITY_DN20355_c0_g1</x:v>
      </x:c>
      <x:c r="C625" t="str">
        <x:v>Mul</x:v>
      </x:c>
      <x:c r="D625" t="n">
        <x:v>3</x:v>
      </x:c>
      <x:c r="E625" t="str">
        <x:v>Mul_mg3</x:v>
      </x:c>
      <x:c r="F625" s="17" t="n">
        <x:v>1.1756790000000001</x:v>
      </x:c>
    </x:row>
    <x:row r="626">
      <x:c r="A626" t="str">
        <x:v>ABC</x:v>
      </x:c>
      <x:c r="B626" t="str">
        <x:v>TRINITY_DN21667_c0_g1</x:v>
      </x:c>
      <x:c r="C626" t="str">
        <x:v>Dan</x:v>
      </x:c>
      <x:c r="D626" t="n">
        <x:v>1</x:v>
      </x:c>
      <x:c r="E626" t="str">
        <x:v>Dan_mg1</x:v>
      </x:c>
      <x:c r="F626" s="17" t="n">
        <x:v>0.080968</x:v>
      </x:c>
    </x:row>
    <x:row r="627">
      <x:c r="A627" t="str">
        <x:v>ABC</x:v>
      </x:c>
      <x:c r="B627" t="str">
        <x:v>TRINITY_DN21667_c0_g1</x:v>
      </x:c>
      <x:c r="C627" t="str">
        <x:v>Dan</x:v>
      </x:c>
      <x:c r="D627" t="n">
        <x:v>2</x:v>
      </x:c>
      <x:c r="E627" t="str">
        <x:v>Dan_mg2</x:v>
      </x:c>
      <x:c r="F627" s="17" t="n">
        <x:v>0.058811</x:v>
      </x:c>
    </x:row>
    <x:row r="628">
      <x:c r="A628" t="str">
        <x:v>ABC</x:v>
      </x:c>
      <x:c r="B628" t="str">
        <x:v>TRINITY_DN21667_c0_g1</x:v>
      </x:c>
      <x:c r="C628" t="str">
        <x:v>Dan</x:v>
      </x:c>
      <x:c r="D628" t="n">
        <x:v>3</x:v>
      </x:c>
      <x:c r="E628" t="str">
        <x:v>Dan_mg3</x:v>
      </x:c>
      <x:c r="F628" s="17" t="n">
        <x:v>0.097957</x:v>
      </x:c>
    </x:row>
    <x:row r="629">
      <x:c r="A629" t="str">
        <x:v>ABC</x:v>
      </x:c>
      <x:c r="B629" t="str">
        <x:v>TRINITY_DN21667_c0_g1</x:v>
      </x:c>
      <x:c r="C629" t="str">
        <x:v>Mul</x:v>
      </x:c>
      <x:c r="D629" t="n">
        <x:v>1</x:v>
      </x:c>
      <x:c r="E629" t="str">
        <x:v>Mul_mg1</x:v>
      </x:c>
      <x:c r="F629" s="17" t="n">
        <x:v>0.0432</x:v>
      </x:c>
    </x:row>
    <x:row r="630">
      <x:c r="A630" t="str">
        <x:v>ABC</x:v>
      </x:c>
      <x:c r="B630" t="str">
        <x:v>TRINITY_DN21667_c0_g1</x:v>
      </x:c>
      <x:c r="C630" t="str">
        <x:v>Mul</x:v>
      </x:c>
      <x:c r="D630" t="n">
        <x:v>2</x:v>
      </x:c>
      <x:c r="E630" t="str">
        <x:v>Mul_mg2</x:v>
      </x:c>
      <x:c r="F630" s="17" t="n">
        <x:v>0.049934</x:v>
      </x:c>
    </x:row>
    <x:row r="631">
      <x:c r="A631" t="str">
        <x:v>ABC</x:v>
      </x:c>
      <x:c r="B631" t="str">
        <x:v>TRINITY_DN21667_c0_g1</x:v>
      </x:c>
      <x:c r="C631" t="str">
        <x:v>Mul</x:v>
      </x:c>
      <x:c r="D631" t="n">
        <x:v>3</x:v>
      </x:c>
      <x:c r="E631" t="str">
        <x:v>Mul_mg3</x:v>
      </x:c>
      <x:c r="F631" s="17" t="n">
        <x:v>0.047224</x:v>
      </x:c>
    </x:row>
    <x:row r="632">
      <x:c r="A632" t="str">
        <x:v>ABC</x:v>
      </x:c>
      <x:c r="B632" t="str">
        <x:v>TRINITY_DN21780_c0_g1</x:v>
      </x:c>
      <x:c r="C632" t="str">
        <x:v>Dan</x:v>
      </x:c>
      <x:c r="D632" t="n">
        <x:v>1</x:v>
      </x:c>
      <x:c r="E632" t="str">
        <x:v>Dan_mg1</x:v>
      </x:c>
      <x:c r="F632" s="17" t="n">
        <x:v>0.133043</x:v>
      </x:c>
    </x:row>
    <x:row r="633">
      <x:c r="A633" t="str">
        <x:v>ABC</x:v>
      </x:c>
      <x:c r="B633" t="str">
        <x:v>TRINITY_DN21780_c0_g1</x:v>
      </x:c>
      <x:c r="C633" t="str">
        <x:v>Dan</x:v>
      </x:c>
      <x:c r="D633" t="n">
        <x:v>2</x:v>
      </x:c>
      <x:c r="E633" t="str">
        <x:v>Dan_mg2</x:v>
      </x:c>
      <x:c r="F633" s="17" t="n">
        <x:v>0.128206</x:v>
      </x:c>
    </x:row>
    <x:row r="634">
      <x:c r="A634" t="str">
        <x:v>ABC</x:v>
      </x:c>
      <x:c r="B634" t="str">
        <x:v>TRINITY_DN21780_c0_g1</x:v>
      </x:c>
      <x:c r="C634" t="str">
        <x:v>Dan</x:v>
      </x:c>
      <x:c r="D634" t="n">
        <x:v>3</x:v>
      </x:c>
      <x:c r="E634" t="str">
        <x:v>Dan_mg3</x:v>
      </x:c>
      <x:c r="F634" s="17" t="n">
        <x:v>0</x:v>
      </x:c>
    </x:row>
    <x:row r="635">
      <x:c r="A635" t="str">
        <x:v>ABC</x:v>
      </x:c>
      <x:c r="B635" t="str">
        <x:v>TRINITY_DN21780_c0_g1</x:v>
      </x:c>
      <x:c r="C635" t="str">
        <x:v>Mul</x:v>
      </x:c>
      <x:c r="D635" t="n">
        <x:v>1</x:v>
      </x:c>
      <x:c r="E635" t="str">
        <x:v>Mul_mg1</x:v>
      </x:c>
      <x:c r="F635" s="17" t="n">
        <x:v>0.094849</x:v>
      </x:c>
    </x:row>
    <x:row r="636">
      <x:c r="A636" t="str">
        <x:v>ABC</x:v>
      </x:c>
      <x:c r="B636" t="str">
        <x:v>TRINITY_DN21780_c0_g1</x:v>
      </x:c>
      <x:c r="C636" t="str">
        <x:v>Mul</x:v>
      </x:c>
      <x:c r="D636" t="n">
        <x:v>2</x:v>
      </x:c>
      <x:c r="E636" t="str">
        <x:v>Mul_mg2</x:v>
      </x:c>
      <x:c r="F636" s="17" t="n">
        <x:v>0.047797</x:v>
      </x:c>
    </x:row>
    <x:row r="637">
      <x:c r="A637" t="str">
        <x:v>ABC</x:v>
      </x:c>
      <x:c r="B637" t="str">
        <x:v>TRINITY_DN21780_c0_g1</x:v>
      </x:c>
      <x:c r="C637" t="str">
        <x:v>Mul</x:v>
      </x:c>
      <x:c r="D637" t="n">
        <x:v>3</x:v>
      </x:c>
      <x:c r="E637" t="str">
        <x:v>Mul_mg3</x:v>
      </x:c>
      <x:c r="F637" s="17" t="n">
        <x:v>0.124574</x:v>
      </x:c>
    </x:row>
    <x:row r="638">
      <x:c r="A638" t="str">
        <x:v>ABC</x:v>
      </x:c>
      <x:c r="B638" t="str">
        <x:v>TRINITY_DN21780_c0_g2</x:v>
      </x:c>
      <x:c r="C638" t="str">
        <x:v>Dan</x:v>
      </x:c>
      <x:c r="D638" t="n">
        <x:v>1</x:v>
      </x:c>
      <x:c r="E638" t="str">
        <x:v>Dan_mg1</x:v>
      </x:c>
      <x:c r="F638" s="17" t="n">
        <x:v>0.047744</x:v>
      </x:c>
    </x:row>
    <x:row r="639">
      <x:c r="A639" t="str">
        <x:v>ABC</x:v>
      </x:c>
      <x:c r="B639" t="str">
        <x:v>TRINITY_DN21780_c0_g2</x:v>
      </x:c>
      <x:c r="C639" t="str">
        <x:v>Dan</x:v>
      </x:c>
      <x:c r="D639" t="n">
        <x:v>2</x:v>
      </x:c>
      <x:c r="E639" t="str">
        <x:v>Dan_mg2</x:v>
      </x:c>
      <x:c r="F639" s="17" t="n">
        <x:v>0.05965</x:v>
      </x:c>
    </x:row>
    <x:row r="640">
      <x:c r="A640" t="str">
        <x:v>ABC</x:v>
      </x:c>
      <x:c r="B640" t="str">
        <x:v>TRINITY_DN21780_c0_g2</x:v>
      </x:c>
      <x:c r="C640" t="str">
        <x:v>Dan</x:v>
      </x:c>
      <x:c r="D640" t="n">
        <x:v>3</x:v>
      </x:c>
      <x:c r="E640" t="str">
        <x:v>Dan_mg3</x:v>
      </x:c>
      <x:c r="F640" s="17" t="n">
        <x:v>0</x:v>
      </x:c>
    </x:row>
    <x:row r="641">
      <x:c r="A641" t="str">
        <x:v>ABC</x:v>
      </x:c>
      <x:c r="B641" t="str">
        <x:v>TRINITY_DN21780_c0_g2</x:v>
      </x:c>
      <x:c r="C641" t="str">
        <x:v>Mul</x:v>
      </x:c>
      <x:c r="D641" t="n">
        <x:v>1</x:v>
      </x:c>
      <x:c r="E641" t="str">
        <x:v>Mul_mg1</x:v>
      </x:c>
      <x:c r="F641" s="17" t="n">
        <x:v>0</x:v>
      </x:c>
    </x:row>
    <x:row r="642">
      <x:c r="A642" t="str">
        <x:v>ABC</x:v>
      </x:c>
      <x:c r="B642" t="str">
        <x:v>TRINITY_DN21780_c0_g2</x:v>
      </x:c>
      <x:c r="C642" t="str">
        <x:v>Mul</x:v>
      </x:c>
      <x:c r="D642" t="n">
        <x:v>2</x:v>
      </x:c>
      <x:c r="E642" t="str">
        <x:v>Mul_mg2</x:v>
      </x:c>
      <x:c r="F642" s="17" t="n">
        <x:v>0.363663</x:v>
      </x:c>
    </x:row>
    <x:row r="643">
      <x:c r="A643" t="str">
        <x:v>ABC</x:v>
      </x:c>
      <x:c r="B643" t="str">
        <x:v>TRINITY_DN21780_c0_g2</x:v>
      </x:c>
      <x:c r="C643" t="str">
        <x:v>Mul</x:v>
      </x:c>
      <x:c r="D643" t="n">
        <x:v>3</x:v>
      </x:c>
      <x:c r="E643" t="str">
        <x:v>Mul_mg3</x:v>
      </x:c>
      <x:c r="F643" s="17" t="n">
        <x:v>0</x:v>
      </x:c>
    </x:row>
    <x:row r="644">
      <x:c r="A644" t="str">
        <x:v>ABC</x:v>
      </x:c>
      <x:c r="B644" t="str">
        <x:v>TRINITY_DN2350_c0_g1</x:v>
      </x:c>
      <x:c r="C644" t="str">
        <x:v>Dan</x:v>
      </x:c>
      <x:c r="D644" t="n">
        <x:v>1</x:v>
      </x:c>
      <x:c r="E644" t="str">
        <x:v>Dan_mg1</x:v>
      </x:c>
      <x:c r="F644" s="17" t="n">
        <x:v>1.00708</x:v>
      </x:c>
    </x:row>
    <x:row r="645">
      <x:c r="A645" t="str">
        <x:v>ABC</x:v>
      </x:c>
      <x:c r="B645" t="str">
        <x:v>TRINITY_DN2350_c0_g1</x:v>
      </x:c>
      <x:c r="C645" t="str">
        <x:v>Dan</x:v>
      </x:c>
      <x:c r="D645" t="n">
        <x:v>2</x:v>
      </x:c>
      <x:c r="E645" t="str">
        <x:v>Dan_mg2</x:v>
      </x:c>
      <x:c r="F645" s="17" t="n">
        <x:v>6.212059</x:v>
      </x:c>
    </x:row>
    <x:row r="646">
      <x:c r="A646" t="str">
        <x:v>ABC</x:v>
      </x:c>
      <x:c r="B646" t="str">
        <x:v>TRINITY_DN2350_c0_g1</x:v>
      </x:c>
      <x:c r="C646" t="str">
        <x:v>Dan</x:v>
      </x:c>
      <x:c r="D646" t="n">
        <x:v>3</x:v>
      </x:c>
      <x:c r="E646" t="str">
        <x:v>Dan_mg3</x:v>
      </x:c>
      <x:c r="F646" s="17" t="n">
        <x:v>8.373244</x:v>
      </x:c>
    </x:row>
    <x:row r="647">
      <x:c r="A647" t="str">
        <x:v>ABC</x:v>
      </x:c>
      <x:c r="B647" t="str">
        <x:v>TRINITY_DN2350_c0_g1</x:v>
      </x:c>
      <x:c r="C647" t="str">
        <x:v>Mul</x:v>
      </x:c>
      <x:c r="D647" t="n">
        <x:v>1</x:v>
      </x:c>
      <x:c r="E647" t="str">
        <x:v>Mul_mg1</x:v>
      </x:c>
      <x:c r="F647" s="17" t="n">
        <x:v>8.760536</x:v>
      </x:c>
    </x:row>
    <x:row r="648">
      <x:c r="A648" t="str">
        <x:v>ABC</x:v>
      </x:c>
      <x:c r="B648" t="str">
        <x:v>TRINITY_DN2350_c0_g1</x:v>
      </x:c>
      <x:c r="C648" t="str">
        <x:v>Mul</x:v>
      </x:c>
      <x:c r="D648" t="n">
        <x:v>2</x:v>
      </x:c>
      <x:c r="E648" t="str">
        <x:v>Mul_mg2</x:v>
      </x:c>
      <x:c r="F648" s="17" t="n">
        <x:v>4.265139</x:v>
      </x:c>
    </x:row>
    <x:row r="649">
      <x:c r="A649" t="str">
        <x:v>ABC</x:v>
      </x:c>
      <x:c r="B649" t="str">
        <x:v>TRINITY_DN2350_c0_g1</x:v>
      </x:c>
      <x:c r="C649" t="str">
        <x:v>Mul</x:v>
      </x:c>
      <x:c r="D649" t="n">
        <x:v>3</x:v>
      </x:c>
      <x:c r="E649" t="str">
        <x:v>Mul_mg3</x:v>
      </x:c>
      <x:c r="F649" s="17" t="n">
        <x:v>0.30161899999999997</x:v>
      </x:c>
    </x:row>
    <x:row r="650">
      <x:c r="A650" t="str">
        <x:v>ABC</x:v>
      </x:c>
      <x:c r="B650" t="str">
        <x:v>TRINITY_DN254_c0_g1</x:v>
      </x:c>
      <x:c r="C650" t="str">
        <x:v>Dan</x:v>
      </x:c>
      <x:c r="D650" t="n">
        <x:v>1</x:v>
      </x:c>
      <x:c r="E650" t="str">
        <x:v>Dan_mg1</x:v>
      </x:c>
      <x:c r="F650" s="17" t="n">
        <x:v>2.6885</x:v>
      </x:c>
    </x:row>
    <x:row r="651">
      <x:c r="A651" t="str">
        <x:v>ABC</x:v>
      </x:c>
      <x:c r="B651" t="str">
        <x:v>TRINITY_DN254_c0_g1</x:v>
      </x:c>
      <x:c r="C651" t="str">
        <x:v>Dan</x:v>
      </x:c>
      <x:c r="D651" t="n">
        <x:v>2</x:v>
      </x:c>
      <x:c r="E651" t="str">
        <x:v>Dan_mg2</x:v>
      </x:c>
      <x:c r="F651" s="17" t="n">
        <x:v>3.424195</x:v>
      </x:c>
    </x:row>
    <x:row r="652">
      <x:c r="A652" t="str">
        <x:v>ABC</x:v>
      </x:c>
      <x:c r="B652" t="str">
        <x:v>TRINITY_DN254_c0_g1</x:v>
      </x:c>
      <x:c r="C652" t="str">
        <x:v>Dan</x:v>
      </x:c>
      <x:c r="D652" t="n">
        <x:v>3</x:v>
      </x:c>
      <x:c r="E652" t="str">
        <x:v>Dan_mg3</x:v>
      </x:c>
      <x:c r="F652" s="17" t="n">
        <x:v>3.040273</x:v>
      </x:c>
    </x:row>
    <x:row r="653">
      <x:c r="A653" t="str">
        <x:v>ABC</x:v>
      </x:c>
      <x:c r="B653" t="str">
        <x:v>TRINITY_DN254_c0_g1</x:v>
      </x:c>
      <x:c r="C653" t="str">
        <x:v>Mul</x:v>
      </x:c>
      <x:c r="D653" t="n">
        <x:v>1</x:v>
      </x:c>
      <x:c r="E653" t="str">
        <x:v>Mul_mg1</x:v>
      </x:c>
      <x:c r="F653" s="17" t="n">
        <x:v>3.957062</x:v>
      </x:c>
    </x:row>
    <x:row r="654">
      <x:c r="A654" t="str">
        <x:v>ABC</x:v>
      </x:c>
      <x:c r="B654" t="str">
        <x:v>TRINITY_DN254_c0_g1</x:v>
      </x:c>
      <x:c r="C654" t="str">
        <x:v>Mul</x:v>
      </x:c>
      <x:c r="D654" t="n">
        <x:v>2</x:v>
      </x:c>
      <x:c r="E654" t="str">
        <x:v>Mul_mg2</x:v>
      </x:c>
      <x:c r="F654" s="17" t="n">
        <x:v>4.123938</x:v>
      </x:c>
    </x:row>
    <x:row r="655">
      <x:c r="A655" t="str">
        <x:v>ABC</x:v>
      </x:c>
      <x:c r="B655" t="str">
        <x:v>TRINITY_DN254_c0_g1</x:v>
      </x:c>
      <x:c r="C655" t="str">
        <x:v>Mul</x:v>
      </x:c>
      <x:c r="D655" t="n">
        <x:v>3</x:v>
      </x:c>
      <x:c r="E655" t="str">
        <x:v>Mul_mg3</x:v>
      </x:c>
      <x:c r="F655" s="17" t="n">
        <x:v>3.0562560000000003</x:v>
      </x:c>
    </x:row>
    <x:row r="656">
      <x:c r="A656" t="str">
        <x:v>ABC</x:v>
      </x:c>
      <x:c r="B656" t="str">
        <x:v>TRINITY_DN264_c0_g1</x:v>
      </x:c>
      <x:c r="C656" t="str">
        <x:v>Dan</x:v>
      </x:c>
      <x:c r="D656" t="n">
        <x:v>1</x:v>
      </x:c>
      <x:c r="E656" t="str">
        <x:v>Dan_mg1</x:v>
      </x:c>
      <x:c r="F656" s="17" t="n">
        <x:v>13.159771000000001</x:v>
      </x:c>
    </x:row>
    <x:row r="657">
      <x:c r="A657" t="str">
        <x:v>ABC</x:v>
      </x:c>
      <x:c r="B657" t="str">
        <x:v>TRINITY_DN264_c0_g1</x:v>
      </x:c>
      <x:c r="C657" t="str">
        <x:v>Dan</x:v>
      </x:c>
      <x:c r="D657" t="n">
        <x:v>2</x:v>
      </x:c>
      <x:c r="E657" t="str">
        <x:v>Dan_mg2</x:v>
      </x:c>
      <x:c r="F657" s="17" t="n">
        <x:v>13.638216</x:v>
      </x:c>
    </x:row>
    <x:row r="658">
      <x:c r="A658" t="str">
        <x:v>ABC</x:v>
      </x:c>
      <x:c r="B658" t="str">
        <x:v>TRINITY_DN264_c0_g1</x:v>
      </x:c>
      <x:c r="C658" t="str">
        <x:v>Dan</x:v>
      </x:c>
      <x:c r="D658" t="n">
        <x:v>3</x:v>
      </x:c>
      <x:c r="E658" t="str">
        <x:v>Dan_mg3</x:v>
      </x:c>
      <x:c r="F658" s="17" t="n">
        <x:v>16.574191000000003</x:v>
      </x:c>
    </x:row>
    <x:row r="659">
      <x:c r="A659" t="str">
        <x:v>ABC</x:v>
      </x:c>
      <x:c r="B659" t="str">
        <x:v>TRINITY_DN264_c0_g1</x:v>
      </x:c>
      <x:c r="C659" t="str">
        <x:v>Mul</x:v>
      </x:c>
      <x:c r="D659" t="n">
        <x:v>1</x:v>
      </x:c>
      <x:c r="E659" t="str">
        <x:v>Mul_mg1</x:v>
      </x:c>
      <x:c r="F659" s="17" t="n">
        <x:v>15.504973</x:v>
      </x:c>
    </x:row>
    <x:row r="660">
      <x:c r="A660" t="str">
        <x:v>ABC</x:v>
      </x:c>
      <x:c r="B660" t="str">
        <x:v>TRINITY_DN264_c0_g1</x:v>
      </x:c>
      <x:c r="C660" t="str">
        <x:v>Mul</x:v>
      </x:c>
      <x:c r="D660" t="n">
        <x:v>2</x:v>
      </x:c>
      <x:c r="E660" t="str">
        <x:v>Mul_mg2</x:v>
      </x:c>
      <x:c r="F660" s="17" t="n">
        <x:v>34.12347</x:v>
      </x:c>
    </x:row>
    <x:row r="661">
      <x:c r="A661" t="str">
        <x:v>ABC</x:v>
      </x:c>
      <x:c r="B661" t="str">
        <x:v>TRINITY_DN264_c0_g1</x:v>
      </x:c>
      <x:c r="C661" t="str">
        <x:v>Mul</x:v>
      </x:c>
      <x:c r="D661" t="n">
        <x:v>3</x:v>
      </x:c>
      <x:c r="E661" t="str">
        <x:v>Mul_mg3</x:v>
      </x:c>
      <x:c r="F661" s="17" t="n">
        <x:v>65.343603</x:v>
      </x:c>
    </x:row>
    <x:row r="662">
      <x:c r="A662" t="str">
        <x:v>ABC</x:v>
      </x:c>
      <x:c r="B662" t="str">
        <x:v>TRINITY_DN30_c14_g1</x:v>
      </x:c>
      <x:c r="C662" t="str">
        <x:v>Dan</x:v>
      </x:c>
      <x:c r="D662" t="n">
        <x:v>1</x:v>
      </x:c>
      <x:c r="E662" t="str">
        <x:v>Dan_mg1</x:v>
      </x:c>
      <x:c r="F662" s="17" t="n">
        <x:v>10.414166</x:v>
      </x:c>
    </x:row>
    <x:row r="663">
      <x:c r="A663" t="str">
        <x:v>ABC</x:v>
      </x:c>
      <x:c r="B663" t="str">
        <x:v>TRINITY_DN30_c14_g1</x:v>
      </x:c>
      <x:c r="C663" t="str">
        <x:v>Dan</x:v>
      </x:c>
      <x:c r="D663" t="n">
        <x:v>2</x:v>
      </x:c>
      <x:c r="E663" t="str">
        <x:v>Dan_mg2</x:v>
      </x:c>
      <x:c r="F663" s="17" t="n">
        <x:v>15.869789</x:v>
      </x:c>
    </x:row>
    <x:row r="664">
      <x:c r="A664" t="str">
        <x:v>ABC</x:v>
      </x:c>
      <x:c r="B664" t="str">
        <x:v>TRINITY_DN30_c14_g1</x:v>
      </x:c>
      <x:c r="C664" t="str">
        <x:v>Dan</x:v>
      </x:c>
      <x:c r="D664" t="n">
        <x:v>3</x:v>
      </x:c>
      <x:c r="E664" t="str">
        <x:v>Dan_mg3</x:v>
      </x:c>
      <x:c r="F664" s="17" t="n">
        <x:v>13.090997999999999</x:v>
      </x:c>
    </x:row>
    <x:row r="665">
      <x:c r="A665" t="str">
        <x:v>ABC</x:v>
      </x:c>
      <x:c r="B665" t="str">
        <x:v>TRINITY_DN30_c14_g1</x:v>
      </x:c>
      <x:c r="C665" t="str">
        <x:v>Mul</x:v>
      </x:c>
      <x:c r="D665" t="n">
        <x:v>1</x:v>
      </x:c>
      <x:c r="E665" t="str">
        <x:v>Mul_mg1</x:v>
      </x:c>
      <x:c r="F665" s="17" t="n">
        <x:v>14.701672</x:v>
      </x:c>
    </x:row>
    <x:row r="666">
      <x:c r="A666" t="str">
        <x:v>ABC</x:v>
      </x:c>
      <x:c r="B666" t="str">
        <x:v>TRINITY_DN30_c14_g1</x:v>
      </x:c>
      <x:c r="C666" t="str">
        <x:v>Mul</x:v>
      </x:c>
      <x:c r="D666" t="n">
        <x:v>2</x:v>
      </x:c>
      <x:c r="E666" t="str">
        <x:v>Mul_mg2</x:v>
      </x:c>
      <x:c r="F666" s="17" t="n">
        <x:v>19.9938</x:v>
      </x:c>
    </x:row>
    <x:row r="667">
      <x:c r="A667" t="str">
        <x:v>ABC</x:v>
      </x:c>
      <x:c r="B667" t="str">
        <x:v>TRINITY_DN30_c14_g1</x:v>
      </x:c>
      <x:c r="C667" t="str">
        <x:v>Mul</x:v>
      </x:c>
      <x:c r="D667" t="n">
        <x:v>3</x:v>
      </x:c>
      <x:c r="E667" t="str">
        <x:v>Mul_mg3</x:v>
      </x:c>
      <x:c r="F667" s="17" t="n">
        <x:v>27.261679</x:v>
      </x:c>
    </x:row>
    <x:row r="668">
      <x:c r="A668" t="str">
        <x:v>ABC</x:v>
      </x:c>
      <x:c r="B668" t="str">
        <x:v>TRINITY_DN332_c0_g1</x:v>
      </x:c>
      <x:c r="C668" t="str">
        <x:v>Dan</x:v>
      </x:c>
      <x:c r="D668" t="n">
        <x:v>1</x:v>
      </x:c>
      <x:c r="E668" t="str">
        <x:v>Dan_mg1</x:v>
      </x:c>
      <x:c r="F668" s="17" t="n">
        <x:v>9.644035</x:v>
      </x:c>
    </x:row>
    <x:row r="669">
      <x:c r="A669" t="str">
        <x:v>ABC</x:v>
      </x:c>
      <x:c r="B669" t="str">
        <x:v>TRINITY_DN332_c0_g1</x:v>
      </x:c>
      <x:c r="C669" t="str">
        <x:v>Dan</x:v>
      </x:c>
      <x:c r="D669" t="n">
        <x:v>2</x:v>
      </x:c>
      <x:c r="E669" t="str">
        <x:v>Dan_mg2</x:v>
      </x:c>
      <x:c r="F669" s="17" t="n">
        <x:v>13.667025</x:v>
      </x:c>
    </x:row>
    <x:row r="670">
      <x:c r="A670" t="str">
        <x:v>ABC</x:v>
      </x:c>
      <x:c r="B670" t="str">
        <x:v>TRINITY_DN332_c0_g1</x:v>
      </x:c>
      <x:c r="C670" t="str">
        <x:v>Dan</x:v>
      </x:c>
      <x:c r="D670" t="n">
        <x:v>3</x:v>
      </x:c>
      <x:c r="E670" t="str">
        <x:v>Dan_mg3</x:v>
      </x:c>
      <x:c r="F670" s="17" t="n">
        <x:v>13.294213</x:v>
      </x:c>
    </x:row>
    <x:row r="671">
      <x:c r="A671" t="str">
        <x:v>ABC</x:v>
      </x:c>
      <x:c r="B671" t="str">
        <x:v>TRINITY_DN332_c0_g1</x:v>
      </x:c>
      <x:c r="C671" t="str">
        <x:v>Mul</x:v>
      </x:c>
      <x:c r="D671" t="n">
        <x:v>1</x:v>
      </x:c>
      <x:c r="E671" t="str">
        <x:v>Mul_mg1</x:v>
      </x:c>
      <x:c r="F671" s="17" t="n">
        <x:v>10.368015</x:v>
      </x:c>
    </x:row>
    <x:row r="672">
      <x:c r="A672" t="str">
        <x:v>ABC</x:v>
      </x:c>
      <x:c r="B672" t="str">
        <x:v>TRINITY_DN332_c0_g1</x:v>
      </x:c>
      <x:c r="C672" t="str">
        <x:v>Mul</x:v>
      </x:c>
      <x:c r="D672" t="n">
        <x:v>2</x:v>
      </x:c>
      <x:c r="E672" t="str">
        <x:v>Mul_mg2</x:v>
      </x:c>
      <x:c r="F672" s="17" t="n">
        <x:v>10.612119999999999</x:v>
      </x:c>
    </x:row>
    <x:row r="673">
      <x:c r="A673" t="str">
        <x:v>ABC</x:v>
      </x:c>
      <x:c r="B673" t="str">
        <x:v>TRINITY_DN332_c0_g1</x:v>
      </x:c>
      <x:c r="C673" t="str">
        <x:v>Mul</x:v>
      </x:c>
      <x:c r="D673" t="n">
        <x:v>3</x:v>
      </x:c>
      <x:c r="E673" t="str">
        <x:v>Mul_mg3</x:v>
      </x:c>
      <x:c r="F673" s="17" t="n">
        <x:v>15.655002</x:v>
      </x:c>
    </x:row>
    <x:row r="674">
      <x:c r="A674" t="str">
        <x:v>ABC</x:v>
      </x:c>
      <x:c r="B674" t="str">
        <x:v>TRINITY_DN33353_c0_g1</x:v>
      </x:c>
      <x:c r="C674" t="str">
        <x:v>Dan</x:v>
      </x:c>
      <x:c r="D674" t="n">
        <x:v>1</x:v>
      </x:c>
      <x:c r="E674" t="str">
        <x:v>Dan_mg1</x:v>
      </x:c>
      <x:c r="F674" s="17" t="n">
        <x:v>5.329509</x:v>
      </x:c>
    </x:row>
    <x:row r="675">
      <x:c r="A675" t="str">
        <x:v>ABC</x:v>
      </x:c>
      <x:c r="B675" t="str">
        <x:v>TRINITY_DN33353_c0_g1</x:v>
      </x:c>
      <x:c r="C675" t="str">
        <x:v>Dan</x:v>
      </x:c>
      <x:c r="D675" t="n">
        <x:v>2</x:v>
      </x:c>
      <x:c r="E675" t="str">
        <x:v>Dan_mg2</x:v>
      </x:c>
      <x:c r="F675" s="17" t="n">
        <x:v>9.461519000000001</x:v>
      </x:c>
    </x:row>
    <x:row r="676">
      <x:c r="A676" t="str">
        <x:v>ABC</x:v>
      </x:c>
      <x:c r="B676" t="str">
        <x:v>TRINITY_DN33353_c0_g1</x:v>
      </x:c>
      <x:c r="C676" t="str">
        <x:v>Dan</x:v>
      </x:c>
      <x:c r="D676" t="n">
        <x:v>3</x:v>
      </x:c>
      <x:c r="E676" t="str">
        <x:v>Dan_mg3</x:v>
      </x:c>
      <x:c r="F676" s="17" t="n">
        <x:v>3.58994</x:v>
      </x:c>
    </x:row>
    <x:row r="677">
      <x:c r="A677" t="str">
        <x:v>ABC</x:v>
      </x:c>
      <x:c r="B677" t="str">
        <x:v>TRINITY_DN33353_c0_g1</x:v>
      </x:c>
      <x:c r="C677" t="str">
        <x:v>Mul</x:v>
      </x:c>
      <x:c r="D677" t="n">
        <x:v>1</x:v>
      </x:c>
      <x:c r="E677" t="str">
        <x:v>Mul_mg1</x:v>
      </x:c>
      <x:c r="F677" s="17" t="n">
        <x:v>8.473355</x:v>
      </x:c>
    </x:row>
    <x:row r="678">
      <x:c r="A678" t="str">
        <x:v>ABC</x:v>
      </x:c>
      <x:c r="B678" t="str">
        <x:v>TRINITY_DN33353_c0_g1</x:v>
      </x:c>
      <x:c r="C678" t="str">
        <x:v>Mul</x:v>
      </x:c>
      <x:c r="D678" t="n">
        <x:v>2</x:v>
      </x:c>
      <x:c r="E678" t="str">
        <x:v>Mul_mg2</x:v>
      </x:c>
      <x:c r="F678" s="17" t="n">
        <x:v>10.226851</x:v>
      </x:c>
    </x:row>
    <x:row r="679">
      <x:c r="A679" t="str">
        <x:v>ABC</x:v>
      </x:c>
      <x:c r="B679" t="str">
        <x:v>TRINITY_DN33353_c0_g1</x:v>
      </x:c>
      <x:c r="C679" t="str">
        <x:v>Mul</x:v>
      </x:c>
      <x:c r="D679" t="n">
        <x:v>3</x:v>
      </x:c>
      <x:c r="E679" t="str">
        <x:v>Mul_mg3</x:v>
      </x:c>
      <x:c r="F679" s="17" t="n">
        <x:v>8.011502</x:v>
      </x:c>
    </x:row>
    <x:row r="680">
      <x:c r="A680" t="str">
        <x:v>ABC</x:v>
      </x:c>
      <x:c r="B680" t="str">
        <x:v>TRINITY_DN33832_c0_g1</x:v>
      </x:c>
      <x:c r="C680" t="str">
        <x:v>Dan</x:v>
      </x:c>
      <x:c r="D680" t="n">
        <x:v>1</x:v>
      </x:c>
      <x:c r="E680" t="str">
        <x:v>Dan_mg1</x:v>
      </x:c>
      <x:c r="F680" s="17" t="n">
        <x:v>0.091484</x:v>
      </x:c>
    </x:row>
    <x:row r="681">
      <x:c r="A681" t="str">
        <x:v>ABC</x:v>
      </x:c>
      <x:c r="B681" t="str">
        <x:v>TRINITY_DN33832_c0_g1</x:v>
      </x:c>
      <x:c r="C681" t="str">
        <x:v>Dan</x:v>
      </x:c>
      <x:c r="D681" t="n">
        <x:v>2</x:v>
      </x:c>
      <x:c r="E681" t="str">
        <x:v>Dan_mg2</x:v>
      </x:c>
      <x:c r="F681" s="17" t="n">
        <x:v>0.207676</x:v>
      </x:c>
    </x:row>
    <x:row r="682">
      <x:c r="A682" t="str">
        <x:v>ABC</x:v>
      </x:c>
      <x:c r="B682" t="str">
        <x:v>TRINITY_DN33832_c0_g1</x:v>
      </x:c>
      <x:c r="C682" t="str">
        <x:v>Dan</x:v>
      </x:c>
      <x:c r="D682" t="n">
        <x:v>3</x:v>
      </x:c>
      <x:c r="E682" t="str">
        <x:v>Dan_mg3</x:v>
      </x:c>
      <x:c r="F682" s="17" t="n">
        <x:v>0.20251</x:v>
      </x:c>
    </x:row>
    <x:row r="683">
      <x:c r="A683" t="str">
        <x:v>ABC</x:v>
      </x:c>
      <x:c r="B683" t="str">
        <x:v>TRINITY_DN33832_c0_g1</x:v>
      </x:c>
      <x:c r="C683" t="str">
        <x:v>Mul</x:v>
      </x:c>
      <x:c r="D683" t="n">
        <x:v>1</x:v>
      </x:c>
      <x:c r="E683" t="str">
        <x:v>Mul_mg1</x:v>
      </x:c>
      <x:c r="F683" s="17" t="n">
        <x:v>0.473426</x:v>
      </x:c>
    </x:row>
    <x:row r="684">
      <x:c r="A684" t="str">
        <x:v>ABC</x:v>
      </x:c>
      <x:c r="B684" t="str">
        <x:v>TRINITY_DN33832_c0_g1</x:v>
      </x:c>
      <x:c r="C684" t="str">
        <x:v>Mul</x:v>
      </x:c>
      <x:c r="D684" t="n">
        <x:v>2</x:v>
      </x:c>
      <x:c r="E684" t="str">
        <x:v>Mul_mg2</x:v>
      </x:c>
      <x:c r="F684" s="17" t="n">
        <x:v>0.166966</x:v>
      </x:c>
    </x:row>
    <x:row r="685">
      <x:c r="A685" t="str">
        <x:v>ABC</x:v>
      </x:c>
      <x:c r="B685" t="str">
        <x:v>TRINITY_DN33832_c0_g1</x:v>
      </x:c>
      <x:c r="C685" t="str">
        <x:v>Mul</x:v>
      </x:c>
      <x:c r="D685" t="n">
        <x:v>3</x:v>
      </x:c>
      <x:c r="E685" t="str">
        <x:v>Mul_mg3</x:v>
      </x:c>
      <x:c r="F685" s="17" t="n">
        <x:v>0.236956</x:v>
      </x:c>
    </x:row>
    <x:row r="686">
      <x:c r="A686" t="str">
        <x:v>ABC</x:v>
      </x:c>
      <x:c r="B686" t="str">
        <x:v>TRINITY_DN35371_c0_g1</x:v>
      </x:c>
      <x:c r="C686" t="str">
        <x:v>Dan</x:v>
      </x:c>
      <x:c r="D686" t="n">
        <x:v>1</x:v>
      </x:c>
      <x:c r="E686" t="str">
        <x:v>Dan_mg1</x:v>
      </x:c>
      <x:c r="F686" s="17" t="n">
        <x:v>0</x:v>
      </x:c>
    </x:row>
    <x:row r="687">
      <x:c r="A687" t="str">
        <x:v>ABC</x:v>
      </x:c>
      <x:c r="B687" t="str">
        <x:v>TRINITY_DN35371_c0_g1</x:v>
      </x:c>
      <x:c r="C687" t="str">
        <x:v>Dan</x:v>
      </x:c>
      <x:c r="D687" t="n">
        <x:v>2</x:v>
      </x:c>
      <x:c r="E687" t="str">
        <x:v>Dan_mg2</x:v>
      </x:c>
      <x:c r="F687" s="17" t="n">
        <x:v>0.19364</x:v>
      </x:c>
    </x:row>
    <x:row r="688">
      <x:c r="A688" t="str">
        <x:v>ABC</x:v>
      </x:c>
      <x:c r="B688" t="str">
        <x:v>TRINITY_DN35371_c0_g1</x:v>
      </x:c>
      <x:c r="C688" t="str">
        <x:v>Dan</x:v>
      </x:c>
      <x:c r="D688" t="n">
        <x:v>3</x:v>
      </x:c>
      <x:c r="E688" t="str">
        <x:v>Dan_mg3</x:v>
      </x:c>
      <x:c r="F688" s="17" t="n">
        <x:v>0.11149</x:v>
      </x:c>
    </x:row>
    <x:row r="689">
      <x:c r="A689" t="str">
        <x:v>ABC</x:v>
      </x:c>
      <x:c r="B689" t="str">
        <x:v>TRINITY_DN35371_c0_g1</x:v>
      </x:c>
      <x:c r="C689" t="str">
        <x:v>Mul</x:v>
      </x:c>
      <x:c r="D689" t="n">
        <x:v>1</x:v>
      </x:c>
      <x:c r="E689" t="str">
        <x:v>Mul_mg1</x:v>
      </x:c>
      <x:c r="F689" s="17" t="n">
        <x:v>0.078711</x:v>
      </x:c>
    </x:row>
    <x:row r="690">
      <x:c r="A690" t="str">
        <x:v>ABC</x:v>
      </x:c>
      <x:c r="B690" t="str">
        <x:v>TRINITY_DN35371_c0_g1</x:v>
      </x:c>
      <x:c r="C690" t="str">
        <x:v>Mul</x:v>
      </x:c>
      <x:c r="D690" t="n">
        <x:v>2</x:v>
      </x:c>
      <x:c r="E690" t="str">
        <x:v>Mul_mg2</x:v>
      </x:c>
      <x:c r="F690" s="17" t="n">
        <x:v>0</x:v>
      </x:c>
    </x:row>
    <x:row r="691">
      <x:c r="A691" t="str">
        <x:v>ABC</x:v>
      </x:c>
      <x:c r="B691" t="str">
        <x:v>TRINITY_DN35371_c0_g1</x:v>
      </x:c>
      <x:c r="C691" t="str">
        <x:v>Mul</x:v>
      </x:c>
      <x:c r="D691" t="n">
        <x:v>3</x:v>
      </x:c>
      <x:c r="E691" t="str">
        <x:v>Mul_mg3</x:v>
      </x:c>
      <x:c r="F691" s="17" t="n">
        <x:v>0</x:v>
      </x:c>
    </x:row>
    <x:row r="692">
      <x:c r="A692" t="str">
        <x:v>ABC</x:v>
      </x:c>
      <x:c r="B692" t="str">
        <x:v>TRINITY_DN35371_c0_g2</x:v>
      </x:c>
      <x:c r="C692" t="str">
        <x:v>Dan</x:v>
      </x:c>
      <x:c r="D692" t="n">
        <x:v>1</x:v>
      </x:c>
      <x:c r="E692" t="str">
        <x:v>Dan_mg1</x:v>
      </x:c>
      <x:c r="F692" s="17" t="n">
        <x:v>0.017645</x:v>
      </x:c>
    </x:row>
    <x:row r="693">
      <x:c r="A693" t="str">
        <x:v>ABC</x:v>
      </x:c>
      <x:c r="B693" t="str">
        <x:v>TRINITY_DN35371_c0_g2</x:v>
      </x:c>
      <x:c r="C693" t="str">
        <x:v>Dan</x:v>
      </x:c>
      <x:c r="D693" t="n">
        <x:v>2</x:v>
      </x:c>
      <x:c r="E693" t="str">
        <x:v>Dan_mg2</x:v>
      </x:c>
      <x:c r="F693" s="17" t="n">
        <x:v>0.065113</x:v>
      </x:c>
    </x:row>
    <x:row r="694">
      <x:c r="A694" t="str">
        <x:v>ABC</x:v>
      </x:c>
      <x:c r="B694" t="str">
        <x:v>TRINITY_DN35371_c0_g2</x:v>
      </x:c>
      <x:c r="C694" t="str">
        <x:v>Dan</x:v>
      </x:c>
      <x:c r="D694" t="n">
        <x:v>3</x:v>
      </x:c>
      <x:c r="E694" t="str">
        <x:v>Dan_mg3</x:v>
      </x:c>
      <x:c r="F694" s="17" t="n">
        <x:v>0.149404</x:v>
      </x:c>
    </x:row>
    <x:row r="695">
      <x:c r="A695" t="str">
        <x:v>ABC</x:v>
      </x:c>
      <x:c r="B695" t="str">
        <x:v>TRINITY_DN35371_c0_g2</x:v>
      </x:c>
      <x:c r="C695" t="str">
        <x:v>Mul</x:v>
      </x:c>
      <x:c r="D695" t="n">
        <x:v>1</x:v>
      </x:c>
      <x:c r="E695" t="str">
        <x:v>Mul_mg1</x:v>
      </x:c>
      <x:c r="F695" s="17" t="n">
        <x:v>0.103997</x:v>
      </x:c>
    </x:row>
    <x:row r="696">
      <x:c r="A696" t="str">
        <x:v>ABC</x:v>
      </x:c>
      <x:c r="B696" t="str">
        <x:v>TRINITY_DN35371_c0_g2</x:v>
      </x:c>
      <x:c r="C696" t="str">
        <x:v>Mul</x:v>
      </x:c>
      <x:c r="D696" t="n">
        <x:v>2</x:v>
      </x:c>
      <x:c r="E696" t="str">
        <x:v>Mul_mg2</x:v>
      </x:c>
      <x:c r="F696" s="17" t="n">
        <x:v>0.047287</x:v>
      </x:c>
    </x:row>
    <x:row r="697">
      <x:c r="A697" t="str">
        <x:v>ABC</x:v>
      </x:c>
      <x:c r="B697" t="str">
        <x:v>TRINITY_DN35371_c0_g2</x:v>
      </x:c>
      <x:c r="C697" t="str">
        <x:v>Mul</x:v>
      </x:c>
      <x:c r="D697" t="n">
        <x:v>3</x:v>
      </x:c>
      <x:c r="E697" t="str">
        <x:v>Mul_mg3</x:v>
      </x:c>
      <x:c r="F697" s="17" t="n">
        <x:v>0.066059</x:v>
      </x:c>
    </x:row>
    <x:row r="698">
      <x:c r="A698" t="str">
        <x:v>ABC</x:v>
      </x:c>
      <x:c r="B698" t="str">
        <x:v>TRINITY_DN37894_c0_g1</x:v>
      </x:c>
      <x:c r="C698" t="str">
        <x:v>Dan</x:v>
      </x:c>
      <x:c r="D698" t="n">
        <x:v>1</x:v>
      </x:c>
      <x:c r="E698" t="str">
        <x:v>Dan_mg1</x:v>
      </x:c>
      <x:c r="F698" s="17" t="n">
        <x:v>0.049527</x:v>
      </x:c>
    </x:row>
    <x:row r="699">
      <x:c r="A699" t="str">
        <x:v>ABC</x:v>
      </x:c>
      <x:c r="B699" t="str">
        <x:v>TRINITY_DN37894_c0_g1</x:v>
      </x:c>
      <x:c r="C699" t="str">
        <x:v>Dan</x:v>
      </x:c>
      <x:c r="D699" t="n">
        <x:v>2</x:v>
      </x:c>
      <x:c r="E699" t="str">
        <x:v>Dan_mg2</x:v>
      </x:c>
      <x:c r="F699" s="17" t="n">
        <x:v>0.060996</x:v>
      </x:c>
    </x:row>
    <x:row r="700">
      <x:c r="A700" t="str">
        <x:v>ABC</x:v>
      </x:c>
      <x:c r="B700" t="str">
        <x:v>TRINITY_DN37894_c0_g1</x:v>
      </x:c>
      <x:c r="C700" t="str">
        <x:v>Dan</x:v>
      </x:c>
      <x:c r="D700" t="n">
        <x:v>3</x:v>
      </x:c>
      <x:c r="E700" t="str">
        <x:v>Dan_mg3</x:v>
      </x:c>
      <x:c r="F700" s="17" t="n">
        <x:v>0.051521</x:v>
      </x:c>
    </x:row>
    <x:row r="701">
      <x:c r="A701" t="str">
        <x:v>ABC</x:v>
      </x:c>
      <x:c r="B701" t="str">
        <x:v>TRINITY_DN37894_c0_g1</x:v>
      </x:c>
      <x:c r="C701" t="str">
        <x:v>Mul</x:v>
      </x:c>
      <x:c r="D701" t="n">
        <x:v>1</x:v>
      </x:c>
      <x:c r="E701" t="str">
        <x:v>Mul_mg1</x:v>
      </x:c>
      <x:c r="F701" s="17" t="n">
        <x:v>0</x:v>
      </x:c>
    </x:row>
    <x:row r="702">
      <x:c r="A702" t="str">
        <x:v>ABC</x:v>
      </x:c>
      <x:c r="B702" t="str">
        <x:v>TRINITY_DN37894_c0_g1</x:v>
      </x:c>
      <x:c r="C702" t="str">
        <x:v>Mul</x:v>
      </x:c>
      <x:c r="D702" t="n">
        <x:v>2</x:v>
      </x:c>
      <x:c r="E702" t="str">
        <x:v>Mul_mg2</x:v>
      </x:c>
      <x:c r="F702" s="17" t="n">
        <x:v>0.135431</x:v>
      </x:c>
    </x:row>
    <x:row r="703">
      <x:c r="A703" t="str">
        <x:v>ABC</x:v>
      </x:c>
      <x:c r="B703" t="str">
        <x:v>TRINITY_DN37894_c0_g1</x:v>
      </x:c>
      <x:c r="C703" t="str">
        <x:v>Mul</x:v>
      </x:c>
      <x:c r="D703" t="n">
        <x:v>3</x:v>
      </x:c>
      <x:c r="E703" t="str">
        <x:v>Mul_mg3</x:v>
      </x:c>
      <x:c r="F703" s="17" t="n">
        <x:v>0</x:v>
      </x:c>
    </x:row>
    <x:row r="704">
      <x:c r="A704" t="str">
        <x:v>ABC</x:v>
      </x:c>
      <x:c r="B704" t="str">
        <x:v>TRINITY_DN4426_c0_g1</x:v>
      </x:c>
      <x:c r="C704" t="str">
        <x:v>Dan</x:v>
      </x:c>
      <x:c r="D704" t="n">
        <x:v>1</x:v>
      </x:c>
      <x:c r="E704" t="str">
        <x:v>Dan_mg1</x:v>
      </x:c>
      <x:c r="F704" s="17" t="n">
        <x:v>1.7761449999999999</x:v>
      </x:c>
    </x:row>
    <x:row r="705">
      <x:c r="A705" t="str">
        <x:v>ABC</x:v>
      </x:c>
      <x:c r="B705" t="str">
        <x:v>TRINITY_DN4426_c0_g1</x:v>
      </x:c>
      <x:c r="C705" t="str">
        <x:v>Dan</x:v>
      </x:c>
      <x:c r="D705" t="n">
        <x:v>2</x:v>
      </x:c>
      <x:c r="E705" t="str">
        <x:v>Dan_mg2</x:v>
      </x:c>
      <x:c r="F705" s="17" t="n">
        <x:v>3.304687</x:v>
      </x:c>
    </x:row>
    <x:row r="706">
      <x:c r="A706" t="str">
        <x:v>ABC</x:v>
      </x:c>
      <x:c r="B706" t="str">
        <x:v>TRINITY_DN4426_c0_g1</x:v>
      </x:c>
      <x:c r="C706" t="str">
        <x:v>Dan</x:v>
      </x:c>
      <x:c r="D706" t="n">
        <x:v>3</x:v>
      </x:c>
      <x:c r="E706" t="str">
        <x:v>Dan_mg3</x:v>
      </x:c>
      <x:c r="F706" s="17" t="n">
        <x:v>2.145156</x:v>
      </x:c>
    </x:row>
    <x:row r="707">
      <x:c r="A707" t="str">
        <x:v>ABC</x:v>
      </x:c>
      <x:c r="B707" t="str">
        <x:v>TRINITY_DN4426_c0_g1</x:v>
      </x:c>
      <x:c r="C707" t="str">
        <x:v>Mul</x:v>
      </x:c>
      <x:c r="D707" t="n">
        <x:v>1</x:v>
      </x:c>
      <x:c r="E707" t="str">
        <x:v>Mul_mg1</x:v>
      </x:c>
      <x:c r="F707" s="17" t="n">
        <x:v>2.993249</x:v>
      </x:c>
    </x:row>
    <x:row r="708">
      <x:c r="A708" t="str">
        <x:v>ABC</x:v>
      </x:c>
      <x:c r="B708" t="str">
        <x:v>TRINITY_DN4426_c0_g1</x:v>
      </x:c>
      <x:c r="C708" t="str">
        <x:v>Mul</x:v>
      </x:c>
      <x:c r="D708" t="n">
        <x:v>2</x:v>
      </x:c>
      <x:c r="E708" t="str">
        <x:v>Mul_mg2</x:v>
      </x:c>
      <x:c r="F708" s="17" t="n">
        <x:v>3.855384</x:v>
      </x:c>
    </x:row>
    <x:row r="709">
      <x:c r="A709" t="str">
        <x:v>ABC</x:v>
      </x:c>
      <x:c r="B709" t="str">
        <x:v>TRINITY_DN4426_c0_g1</x:v>
      </x:c>
      <x:c r="C709" t="str">
        <x:v>Mul</x:v>
      </x:c>
      <x:c r="D709" t="n">
        <x:v>3</x:v>
      </x:c>
      <x:c r="E709" t="str">
        <x:v>Mul_mg3</x:v>
      </x:c>
      <x:c r="F709" s="17" t="n">
        <x:v>4.456208999999999</x:v>
      </x:c>
    </x:row>
    <x:row r="710">
      <x:c r="A710" t="str">
        <x:v>ABC</x:v>
      </x:c>
      <x:c r="B710" t="str">
        <x:v>TRINITY_DN44328_c0_g1</x:v>
      </x:c>
      <x:c r="C710" t="str">
        <x:v>Dan</x:v>
      </x:c>
      <x:c r="D710" t="n">
        <x:v>1</x:v>
      </x:c>
      <x:c r="E710" t="str">
        <x:v>Dan_mg1</x:v>
      </x:c>
      <x:c r="F710" s="17" t="n">
        <x:v>8.651382</x:v>
      </x:c>
    </x:row>
    <x:row r="711">
      <x:c r="A711" t="str">
        <x:v>ABC</x:v>
      </x:c>
      <x:c r="B711" t="str">
        <x:v>TRINITY_DN44328_c0_g1</x:v>
      </x:c>
      <x:c r="C711" t="str">
        <x:v>Dan</x:v>
      </x:c>
      <x:c r="D711" t="n">
        <x:v>2</x:v>
      </x:c>
      <x:c r="E711" t="str">
        <x:v>Dan_mg2</x:v>
      </x:c>
      <x:c r="F711" s="17" t="n">
        <x:v>8.186729</x:v>
      </x:c>
    </x:row>
    <x:row r="712">
      <x:c r="A712" t="str">
        <x:v>ABC</x:v>
      </x:c>
      <x:c r="B712" t="str">
        <x:v>TRINITY_DN44328_c0_g1</x:v>
      </x:c>
      <x:c r="C712" t="str">
        <x:v>Dan</x:v>
      </x:c>
      <x:c r="D712" t="n">
        <x:v>3</x:v>
      </x:c>
      <x:c r="E712" t="str">
        <x:v>Dan_mg3</x:v>
      </x:c>
      <x:c r="F712" s="17" t="n">
        <x:v>3.778477</x:v>
      </x:c>
    </x:row>
    <x:row r="713">
      <x:c r="A713" t="str">
        <x:v>ABC</x:v>
      </x:c>
      <x:c r="B713" t="str">
        <x:v>TRINITY_DN44328_c0_g1</x:v>
      </x:c>
      <x:c r="C713" t="str">
        <x:v>Mul</x:v>
      </x:c>
      <x:c r="D713" t="n">
        <x:v>1</x:v>
      </x:c>
      <x:c r="E713" t="str">
        <x:v>Mul_mg1</x:v>
      </x:c>
      <x:c r="F713" s="17" t="n">
        <x:v>6.160405</x:v>
      </x:c>
    </x:row>
    <x:row r="714">
      <x:c r="A714" t="str">
        <x:v>ABC</x:v>
      </x:c>
      <x:c r="B714" t="str">
        <x:v>TRINITY_DN44328_c0_g1</x:v>
      </x:c>
      <x:c r="C714" t="str">
        <x:v>Mul</x:v>
      </x:c>
      <x:c r="D714" t="n">
        <x:v>2</x:v>
      </x:c>
      <x:c r="E714" t="str">
        <x:v>Mul_mg2</x:v>
      </x:c>
      <x:c r="F714" s="17" t="n">
        <x:v>9.33408</x:v>
      </x:c>
    </x:row>
    <x:row r="715">
      <x:c r="A715" t="str">
        <x:v>ABC</x:v>
      </x:c>
      <x:c r="B715" t="str">
        <x:v>TRINITY_DN44328_c0_g1</x:v>
      </x:c>
      <x:c r="C715" t="str">
        <x:v>Mul</x:v>
      </x:c>
      <x:c r="D715" t="n">
        <x:v>3</x:v>
      </x:c>
      <x:c r="E715" t="str">
        <x:v>Mul_mg3</x:v>
      </x:c>
      <x:c r="F715" s="17" t="n">
        <x:v>5.376177</x:v>
      </x:c>
    </x:row>
    <x:row r="716">
      <x:c r="A716" t="str">
        <x:v>ABC</x:v>
      </x:c>
      <x:c r="B716" t="str">
        <x:v>TRINITY_DN4518_c0_g1</x:v>
      </x:c>
      <x:c r="C716" t="str">
        <x:v>Dan</x:v>
      </x:c>
      <x:c r="D716" t="n">
        <x:v>1</x:v>
      </x:c>
      <x:c r="E716" t="str">
        <x:v>Dan_mg1</x:v>
      </x:c>
      <x:c r="F716" s="17" t="n">
        <x:v>1.530235</x:v>
      </x:c>
    </x:row>
    <x:row r="717">
      <x:c r="A717" t="str">
        <x:v>ABC</x:v>
      </x:c>
      <x:c r="B717" t="str">
        <x:v>TRINITY_DN4518_c0_g1</x:v>
      </x:c>
      <x:c r="C717" t="str">
        <x:v>Dan</x:v>
      </x:c>
      <x:c r="D717" t="n">
        <x:v>2</x:v>
      </x:c>
      <x:c r="E717" t="str">
        <x:v>Dan_mg2</x:v>
      </x:c>
      <x:c r="F717" s="17" t="n">
        <x:v>4.476188</x:v>
      </x:c>
    </x:row>
    <x:row r="718">
      <x:c r="A718" t="str">
        <x:v>ABC</x:v>
      </x:c>
      <x:c r="B718" t="str">
        <x:v>TRINITY_DN4518_c0_g1</x:v>
      </x:c>
      <x:c r="C718" t="str">
        <x:v>Dan</x:v>
      </x:c>
      <x:c r="D718" t="n">
        <x:v>3</x:v>
      </x:c>
      <x:c r="E718" t="str">
        <x:v>Dan_mg3</x:v>
      </x:c>
      <x:c r="F718" s="17" t="n">
        <x:v>4.044308</x:v>
      </x:c>
    </x:row>
    <x:row r="719">
      <x:c r="A719" t="str">
        <x:v>ABC</x:v>
      </x:c>
      <x:c r="B719" t="str">
        <x:v>TRINITY_DN4518_c0_g1</x:v>
      </x:c>
      <x:c r="C719" t="str">
        <x:v>Mul</x:v>
      </x:c>
      <x:c r="D719" t="n">
        <x:v>1</x:v>
      </x:c>
      <x:c r="E719" t="str">
        <x:v>Mul_mg1</x:v>
      </x:c>
      <x:c r="F719" s="17" t="n">
        <x:v>2.9931669999999997</x:v>
      </x:c>
    </x:row>
    <x:row r="720">
      <x:c r="A720" t="str">
        <x:v>ABC</x:v>
      </x:c>
      <x:c r="B720" t="str">
        <x:v>TRINITY_DN4518_c0_g1</x:v>
      </x:c>
      <x:c r="C720" t="str">
        <x:v>Mul</x:v>
      </x:c>
      <x:c r="D720" t="n">
        <x:v>2</x:v>
      </x:c>
      <x:c r="E720" t="str">
        <x:v>Mul_mg2</x:v>
      </x:c>
      <x:c r="F720" s="17" t="n">
        <x:v>3.127432</x:v>
      </x:c>
    </x:row>
    <x:row r="721">
      <x:c r="A721" t="str">
        <x:v>ABC</x:v>
      </x:c>
      <x:c r="B721" t="str">
        <x:v>TRINITY_DN4518_c0_g1</x:v>
      </x:c>
      <x:c r="C721" t="str">
        <x:v>Mul</x:v>
      </x:c>
      <x:c r="D721" t="n">
        <x:v>3</x:v>
      </x:c>
      <x:c r="E721" t="str">
        <x:v>Mul_mg3</x:v>
      </x:c>
      <x:c r="F721" s="17" t="n">
        <x:v>4.482114</x:v>
      </x:c>
    </x:row>
    <x:row r="722">
      <x:c r="A722" t="str">
        <x:v>ABC</x:v>
      </x:c>
      <x:c r="B722" t="str">
        <x:v>TRINITY_DN4644_c0_g1</x:v>
      </x:c>
      <x:c r="C722" t="str">
        <x:v>Dan</x:v>
      </x:c>
      <x:c r="D722" t="n">
        <x:v>1</x:v>
      </x:c>
      <x:c r="E722" t="str">
        <x:v>Dan_mg1</x:v>
      </x:c>
      <x:c r="F722" s="17" t="n">
        <x:v>1.713609</x:v>
      </x:c>
    </x:row>
    <x:row r="723">
      <x:c r="A723" t="str">
        <x:v>ABC</x:v>
      </x:c>
      <x:c r="B723" t="str">
        <x:v>TRINITY_DN4644_c0_g1</x:v>
      </x:c>
      <x:c r="C723" t="str">
        <x:v>Dan</x:v>
      </x:c>
      <x:c r="D723" t="n">
        <x:v>2</x:v>
      </x:c>
      <x:c r="E723" t="str">
        <x:v>Dan_mg2</x:v>
      </x:c>
      <x:c r="F723" s="17" t="n">
        <x:v>0.24093</x:v>
      </x:c>
    </x:row>
    <x:row r="724">
      <x:c r="A724" t="str">
        <x:v>ABC</x:v>
      </x:c>
      <x:c r="B724" t="str">
        <x:v>TRINITY_DN4644_c0_g1</x:v>
      </x:c>
      <x:c r="C724" t="str">
        <x:v>Dan</x:v>
      </x:c>
      <x:c r="D724" t="n">
        <x:v>3</x:v>
      </x:c>
      <x:c r="E724" t="str">
        <x:v>Dan_mg3</x:v>
      </x:c>
      <x:c r="F724" s="17" t="n">
        <x:v>0.959056</x:v>
      </x:c>
    </x:row>
    <x:row r="725">
      <x:c r="A725" t="str">
        <x:v>ABC</x:v>
      </x:c>
      <x:c r="B725" t="str">
        <x:v>TRINITY_DN4644_c0_g1</x:v>
      </x:c>
      <x:c r="C725" t="str">
        <x:v>Mul</x:v>
      </x:c>
      <x:c r="D725" t="n">
        <x:v>1</x:v>
      </x:c>
      <x:c r="E725" t="str">
        <x:v>Mul_mg1</x:v>
      </x:c>
      <x:c r="F725" s="17" t="n">
        <x:v>0.208825</x:v>
      </x:c>
    </x:row>
    <x:row r="726">
      <x:c r="A726" t="str">
        <x:v>ABC</x:v>
      </x:c>
      <x:c r="B726" t="str">
        <x:v>TRINITY_DN4644_c0_g1</x:v>
      </x:c>
      <x:c r="C726" t="str">
        <x:v>Mul</x:v>
      </x:c>
      <x:c r="D726" t="n">
        <x:v>2</x:v>
      </x:c>
      <x:c r="E726" t="str">
        <x:v>Mul_mg2</x:v>
      </x:c>
      <x:c r="F726" s="17" t="n">
        <x:v>0.64778</x:v>
      </x:c>
    </x:row>
    <x:row r="727">
      <x:c r="A727" t="str">
        <x:v>ABC</x:v>
      </x:c>
      <x:c r="B727" t="str">
        <x:v>TRINITY_DN4644_c0_g1</x:v>
      </x:c>
      <x:c r="C727" t="str">
        <x:v>Mul</x:v>
      </x:c>
      <x:c r="D727" t="n">
        <x:v>3</x:v>
      </x:c>
      <x:c r="E727" t="str">
        <x:v>Mul_mg3</x:v>
      </x:c>
      <x:c r="F727" s="17" t="n">
        <x:v>0.107128</x:v>
      </x:c>
    </x:row>
    <x:row r="728">
      <x:c r="A728" t="str">
        <x:v>ABC</x:v>
      </x:c>
      <x:c r="B728" t="str">
        <x:v>TRINITY_DN4709_c2_g1</x:v>
      </x:c>
      <x:c r="C728" t="str">
        <x:v>Dan</x:v>
      </x:c>
      <x:c r="D728" t="n">
        <x:v>1</x:v>
      </x:c>
      <x:c r="E728" t="str">
        <x:v>Dan_mg1</x:v>
      </x:c>
      <x:c r="F728" s="17" t="n">
        <x:v>0.018241</x:v>
      </x:c>
    </x:row>
    <x:row r="729">
      <x:c r="A729" t="str">
        <x:v>ABC</x:v>
      </x:c>
      <x:c r="B729" t="str">
        <x:v>TRINITY_DN4709_c2_g1</x:v>
      </x:c>
      <x:c r="C729" t="str">
        <x:v>Dan</x:v>
      </x:c>
      <x:c r="D729" t="n">
        <x:v>2</x:v>
      </x:c>
      <x:c r="E729" t="str">
        <x:v>Dan_mg2</x:v>
      </x:c>
      <x:c r="F729" s="17" t="n">
        <x:v>1.015667</x:v>
      </x:c>
    </x:row>
    <x:row r="730">
      <x:c r="A730" t="str">
        <x:v>ABC</x:v>
      </x:c>
      <x:c r="B730" t="str">
        <x:v>TRINITY_DN4709_c2_g1</x:v>
      </x:c>
      <x:c r="C730" t="str">
        <x:v>Dan</x:v>
      </x:c>
      <x:c r="D730" t="n">
        <x:v>3</x:v>
      </x:c>
      <x:c r="E730" t="str">
        <x:v>Dan_mg3</x:v>
      </x:c>
      <x:c r="F730" s="17" t="n">
        <x:v>1.954729</x:v>
      </x:c>
    </x:row>
    <x:row r="731">
      <x:c r="A731" t="str">
        <x:v>ABC</x:v>
      </x:c>
      <x:c r="B731" t="str">
        <x:v>TRINITY_DN4709_c2_g1</x:v>
      </x:c>
      <x:c r="C731" t="str">
        <x:v>Mul</x:v>
      </x:c>
      <x:c r="D731" t="n">
        <x:v>1</x:v>
      </x:c>
      <x:c r="E731" t="str">
        <x:v>Mul_mg1</x:v>
      </x:c>
      <x:c r="F731" s="17" t="n">
        <x:v>1.558943</x:v>
      </x:c>
    </x:row>
    <x:row r="732">
      <x:c r="A732" t="str">
        <x:v>ABC</x:v>
      </x:c>
      <x:c r="B732" t="str">
        <x:v>TRINITY_DN4709_c2_g1</x:v>
      </x:c>
      <x:c r="C732" t="str">
        <x:v>Mul</x:v>
      </x:c>
      <x:c r="D732" t="n">
        <x:v>2</x:v>
      </x:c>
      <x:c r="E732" t="str">
        <x:v>Mul_mg2</x:v>
      </x:c>
      <x:c r="F732" s="17" t="n">
        <x:v>0.567433</x:v>
      </x:c>
    </x:row>
    <x:row r="733">
      <x:c r="A733" t="str">
        <x:v>ABC</x:v>
      </x:c>
      <x:c r="B733" t="str">
        <x:v>TRINITY_DN4709_c2_g1</x:v>
      </x:c>
      <x:c r="C733" t="str">
        <x:v>Mul</x:v>
      </x:c>
      <x:c r="D733" t="n">
        <x:v>3</x:v>
      </x:c>
      <x:c r="E733" t="str">
        <x:v>Mul_mg3</x:v>
      </x:c>
      <x:c r="F733" s="17" t="n">
        <x:v>0.038337</x:v>
      </x:c>
    </x:row>
    <x:row r="734">
      <x:c r="A734" t="str">
        <x:v>ABC</x:v>
      </x:c>
      <x:c r="B734" t="str">
        <x:v>TRINITY_DN4830_c1_g1</x:v>
      </x:c>
      <x:c r="C734" t="str">
        <x:v>Dan</x:v>
      </x:c>
      <x:c r="D734" t="n">
        <x:v>1</x:v>
      </x:c>
      <x:c r="E734" t="str">
        <x:v>Dan_mg1</x:v>
      </x:c>
      <x:c r="F734" s="17" t="n">
        <x:v>2.474412</x:v>
      </x:c>
    </x:row>
    <x:row r="735">
      <x:c r="A735" t="str">
        <x:v>ABC</x:v>
      </x:c>
      <x:c r="B735" t="str">
        <x:v>TRINITY_DN4830_c1_g1</x:v>
      </x:c>
      <x:c r="C735" t="str">
        <x:v>Dan</x:v>
      </x:c>
      <x:c r="D735" t="n">
        <x:v>2</x:v>
      </x:c>
      <x:c r="E735" t="str">
        <x:v>Dan_mg2</x:v>
      </x:c>
      <x:c r="F735" s="17" t="n">
        <x:v>3.0379140000000002</x:v>
      </x:c>
    </x:row>
    <x:row r="736">
      <x:c r="A736" t="str">
        <x:v>ABC</x:v>
      </x:c>
      <x:c r="B736" t="str">
        <x:v>TRINITY_DN4830_c1_g1</x:v>
      </x:c>
      <x:c r="C736" t="str">
        <x:v>Dan</x:v>
      </x:c>
      <x:c r="D736" t="n">
        <x:v>3</x:v>
      </x:c>
      <x:c r="E736" t="str">
        <x:v>Dan_mg3</x:v>
      </x:c>
      <x:c r="F736" s="17" t="n">
        <x:v>2.4954549999999998</x:v>
      </x:c>
    </x:row>
    <x:row r="737">
      <x:c r="A737" t="str">
        <x:v>ABC</x:v>
      </x:c>
      <x:c r="B737" t="str">
        <x:v>TRINITY_DN4830_c1_g1</x:v>
      </x:c>
      <x:c r="C737" t="str">
        <x:v>Mul</x:v>
      </x:c>
      <x:c r="D737" t="n">
        <x:v>1</x:v>
      </x:c>
      <x:c r="E737" t="str">
        <x:v>Mul_mg1</x:v>
      </x:c>
      <x:c r="F737" s="17" t="n">
        <x:v>3.342111</x:v>
      </x:c>
    </x:row>
    <x:row r="738">
      <x:c r="A738" t="str">
        <x:v>ABC</x:v>
      </x:c>
      <x:c r="B738" t="str">
        <x:v>TRINITY_DN4830_c1_g1</x:v>
      </x:c>
      <x:c r="C738" t="str">
        <x:v>Mul</x:v>
      </x:c>
      <x:c r="D738" t="n">
        <x:v>2</x:v>
      </x:c>
      <x:c r="E738" t="str">
        <x:v>Mul_mg2</x:v>
      </x:c>
      <x:c r="F738" s="17" t="n">
        <x:v>3.686238</x:v>
      </x:c>
    </x:row>
    <x:row r="739">
      <x:c r="A739" t="str">
        <x:v>ABC</x:v>
      </x:c>
      <x:c r="B739" t="str">
        <x:v>TRINITY_DN4830_c1_g1</x:v>
      </x:c>
      <x:c r="C739" t="str">
        <x:v>Mul</x:v>
      </x:c>
      <x:c r="D739" t="n">
        <x:v>3</x:v>
      </x:c>
      <x:c r="E739" t="str">
        <x:v>Mul_mg3</x:v>
      </x:c>
      <x:c r="F739" s="17" t="n">
        <x:v>3.6695070000000003</x:v>
      </x:c>
    </x:row>
    <x:row r="740">
      <x:c r="A740" t="str">
        <x:v>ABC</x:v>
      </x:c>
      <x:c r="B740" t="str">
        <x:v>TRINITY_DN48819_c0_g1</x:v>
      </x:c>
      <x:c r="C740" t="str">
        <x:v>Dan</x:v>
      </x:c>
      <x:c r="D740" t="n">
        <x:v>1</x:v>
      </x:c>
      <x:c r="E740" t="str">
        <x:v>Dan_mg1</x:v>
      </x:c>
      <x:c r="F740" s="17" t="n">
        <x:v>0.086747</x:v>
      </x:c>
    </x:row>
    <x:row r="741">
      <x:c r="A741" t="str">
        <x:v>ABC</x:v>
      </x:c>
      <x:c r="B741" t="str">
        <x:v>TRINITY_DN48819_c0_g1</x:v>
      </x:c>
      <x:c r="C741" t="str">
        <x:v>Dan</x:v>
      </x:c>
      <x:c r="D741" t="n">
        <x:v>2</x:v>
      </x:c>
      <x:c r="E741" t="str">
        <x:v>Dan_mg2</x:v>
      </x:c>
      <x:c r="F741" s="17" t="n">
        <x:v>0.106673</x:v>
      </x:c>
    </x:row>
    <x:row r="742">
      <x:c r="A742" t="str">
        <x:v>ABC</x:v>
      </x:c>
      <x:c r="B742" t="str">
        <x:v>TRINITY_DN48819_c0_g1</x:v>
      </x:c>
      <x:c r="C742" t="str">
        <x:v>Dan</x:v>
      </x:c>
      <x:c r="D742" t="n">
        <x:v>3</x:v>
      </x:c>
      <x:c r="E742" t="str">
        <x:v>Dan_mg3</x:v>
      </x:c>
      <x:c r="F742" s="17" t="n">
        <x:v>0</x:v>
      </x:c>
    </x:row>
    <x:row r="743">
      <x:c r="A743" t="str">
        <x:v>ABC</x:v>
      </x:c>
      <x:c r="B743" t="str">
        <x:v>TRINITY_DN48819_c0_g1</x:v>
      </x:c>
      <x:c r="C743" t="str">
        <x:v>Mul</x:v>
      </x:c>
      <x:c r="D743" t="n">
        <x:v>1</x:v>
      </x:c>
      <x:c r="E743" t="str">
        <x:v>Mul_mg1</x:v>
      </x:c>
      <x:c r="F743" s="17" t="n">
        <x:v>0</x:v>
      </x:c>
    </x:row>
    <x:row r="744">
      <x:c r="A744" t="str">
        <x:v>ABC</x:v>
      </x:c>
      <x:c r="B744" t="str">
        <x:v>TRINITY_DN48819_c0_g1</x:v>
      </x:c>
      <x:c r="C744" t="str">
        <x:v>Mul</x:v>
      </x:c>
      <x:c r="D744" t="n">
        <x:v>2</x:v>
      </x:c>
      <x:c r="E744" t="str">
        <x:v>Mul_mg2</x:v>
      </x:c>
      <x:c r="F744" s="17" t="n">
        <x:v>0.055947</x:v>
      </x:c>
    </x:row>
    <x:row r="745">
      <x:c r="A745" t="str">
        <x:v>ABC</x:v>
      </x:c>
      <x:c r="B745" t="str">
        <x:v>TRINITY_DN48819_c0_g1</x:v>
      </x:c>
      <x:c r="C745" t="str">
        <x:v>Mul</x:v>
      </x:c>
      <x:c r="D745" t="n">
        <x:v>3</x:v>
      </x:c>
      <x:c r="E745" t="str">
        <x:v>Mul_mg3</x:v>
      </x:c>
      <x:c r="F745" s="17" t="n">
        <x:v>0.053874</x:v>
      </x:c>
    </x:row>
    <x:row r="746">
      <x:c r="A746" t="str">
        <x:v>ABC</x:v>
      </x:c>
      <x:c r="B746" t="str">
        <x:v>TRINITY_DN49408_c0_g1</x:v>
      </x:c>
      <x:c r="C746" t="str">
        <x:v>Dan</x:v>
      </x:c>
      <x:c r="D746" t="n">
        <x:v>1</x:v>
      </x:c>
      <x:c r="E746" t="str">
        <x:v>Dan_mg1</x:v>
      </x:c>
      <x:c r="F746" s="17" t="n">
        <x:v>0</x:v>
      </x:c>
    </x:row>
    <x:row r="747">
      <x:c r="A747" t="str">
        <x:v>ABC</x:v>
      </x:c>
      <x:c r="B747" t="str">
        <x:v>TRINITY_DN49408_c0_g1</x:v>
      </x:c>
      <x:c r="C747" t="str">
        <x:v>Dan</x:v>
      </x:c>
      <x:c r="D747" t="n">
        <x:v>2</x:v>
      </x:c>
      <x:c r="E747" t="str">
        <x:v>Dan_mg2</x:v>
      </x:c>
      <x:c r="F747" s="17" t="n">
        <x:v>0.133642</x:v>
      </x:c>
    </x:row>
    <x:row r="748">
      <x:c r="A748" t="str">
        <x:v>ABC</x:v>
      </x:c>
      <x:c r="B748" t="str">
        <x:v>TRINITY_DN49408_c0_g1</x:v>
      </x:c>
      <x:c r="C748" t="str">
        <x:v>Dan</x:v>
      </x:c>
      <x:c r="D748" t="n">
        <x:v>3</x:v>
      </x:c>
      <x:c r="E748" t="str">
        <x:v>Dan_mg3</x:v>
      </x:c>
      <x:c r="F748" s="17" t="n">
        <x:v>0.076863</x:v>
      </x:c>
    </x:row>
    <x:row r="749">
      <x:c r="A749" t="str">
        <x:v>ABC</x:v>
      </x:c>
      <x:c r="B749" t="str">
        <x:v>TRINITY_DN49408_c0_g1</x:v>
      </x:c>
      <x:c r="C749" t="str">
        <x:v>Mul</x:v>
      </x:c>
      <x:c r="D749" t="n">
        <x:v>1</x:v>
      </x:c>
      <x:c r="E749" t="str">
        <x:v>Mul_mg1</x:v>
      </x:c>
      <x:c r="F749" s="17" t="n">
        <x:v>0.210079</x:v>
      </x:c>
    </x:row>
    <x:row r="750">
      <x:c r="A750" t="str">
        <x:v>ABC</x:v>
      </x:c>
      <x:c r="B750" t="str">
        <x:v>TRINITY_DN49408_c0_g1</x:v>
      </x:c>
      <x:c r="C750" t="str">
        <x:v>Mul</x:v>
      </x:c>
      <x:c r="D750" t="n">
        <x:v>2</x:v>
      </x:c>
      <x:c r="E750" t="str">
        <x:v>Mul_mg2</x:v>
      </x:c>
      <x:c r="F750" s="17" t="n">
        <x:v>0.045363</x:v>
      </x:c>
    </x:row>
    <x:row r="751">
      <x:c r="A751" t="str">
        <x:v>ABC</x:v>
      </x:c>
      <x:c r="B751" t="str">
        <x:v>TRINITY_DN49408_c0_g1</x:v>
      </x:c>
      <x:c r="C751" t="str">
        <x:v>Mul</x:v>
      </x:c>
      <x:c r="D751" t="n">
        <x:v>3</x:v>
      </x:c>
      <x:c r="E751" t="str">
        <x:v>Mul_mg3</x:v>
      </x:c>
      <x:c r="F751" s="17" t="n">
        <x:v>0</x:v>
      </x:c>
    </x:row>
    <x:row r="752">
      <x:c r="A752" t="str">
        <x:v>ABC</x:v>
      </x:c>
      <x:c r="B752" t="str">
        <x:v>TRINITY_DN5175_c0_g1</x:v>
      </x:c>
      <x:c r="C752" t="str">
        <x:v>Dan</x:v>
      </x:c>
      <x:c r="D752" t="n">
        <x:v>1</x:v>
      </x:c>
      <x:c r="E752" t="str">
        <x:v>Dan_mg1</x:v>
      </x:c>
      <x:c r="F752" s="17" t="n">
        <x:v>1.78144</x:v>
      </x:c>
    </x:row>
    <x:row r="753">
      <x:c r="A753" t="str">
        <x:v>ABC</x:v>
      </x:c>
      <x:c r="B753" t="str">
        <x:v>TRINITY_DN5175_c0_g1</x:v>
      </x:c>
      <x:c r="C753" t="str">
        <x:v>Dan</x:v>
      </x:c>
      <x:c r="D753" t="n">
        <x:v>2</x:v>
      </x:c>
      <x:c r="E753" t="str">
        <x:v>Dan_mg2</x:v>
      </x:c>
      <x:c r="F753" s="17" t="n">
        <x:v>0.436737</x:v>
      </x:c>
    </x:row>
    <x:row r="754">
      <x:c r="A754" t="str">
        <x:v>ABC</x:v>
      </x:c>
      <x:c r="B754" t="str">
        <x:v>TRINITY_DN5175_c0_g1</x:v>
      </x:c>
      <x:c r="C754" t="str">
        <x:v>Dan</x:v>
      </x:c>
      <x:c r="D754" t="n">
        <x:v>3</x:v>
      </x:c>
      <x:c r="E754" t="str">
        <x:v>Dan_mg3</x:v>
      </x:c>
      <x:c r="F754" s="17" t="n">
        <x:v>1.065753</x:v>
      </x:c>
    </x:row>
    <x:row r="755">
      <x:c r="A755" t="str">
        <x:v>ABC</x:v>
      </x:c>
      <x:c r="B755" t="str">
        <x:v>TRINITY_DN5175_c0_g1</x:v>
      </x:c>
      <x:c r="C755" t="str">
        <x:v>Mul</x:v>
      </x:c>
      <x:c r="D755" t="n">
        <x:v>1</x:v>
      </x:c>
      <x:c r="E755" t="str">
        <x:v>Mul_mg1</x:v>
      </x:c>
      <x:c r="F755" s="17" t="n">
        <x:v>1.572031</x:v>
      </x:c>
    </x:row>
    <x:row r="756">
      <x:c r="A756" t="str">
        <x:v>ABC</x:v>
      </x:c>
      <x:c r="B756" t="str">
        <x:v>TRINITY_DN5175_c0_g1</x:v>
      </x:c>
      <x:c r="C756" t="str">
        <x:v>Mul</x:v>
      </x:c>
      <x:c r="D756" t="n">
        <x:v>2</x:v>
      </x:c>
      <x:c r="E756" t="str">
        <x:v>Mul_mg2</x:v>
      </x:c>
      <x:c r="F756" s="17" t="n">
        <x:v>0.928906</x:v>
      </x:c>
    </x:row>
    <x:row r="757">
      <x:c r="A757" t="str">
        <x:v>ABC</x:v>
      </x:c>
      <x:c r="B757" t="str">
        <x:v>TRINITY_DN5175_c0_g1</x:v>
      </x:c>
      <x:c r="C757" t="str">
        <x:v>Mul</x:v>
      </x:c>
      <x:c r="D757" t="n">
        <x:v>3</x:v>
      </x:c>
      <x:c r="E757" t="str">
        <x:v>Mul_mg3</x:v>
      </x:c>
      <x:c r="F757" s="17" t="n">
        <x:v>0.48626199999999997</x:v>
      </x:c>
    </x:row>
    <x:row r="758">
      <x:c r="A758" t="str">
        <x:v>ABC</x:v>
      </x:c>
      <x:c r="B758" t="str">
        <x:v>TRINITY_DN5424_c0_g1</x:v>
      </x:c>
      <x:c r="C758" t="str">
        <x:v>Dan</x:v>
      </x:c>
      <x:c r="D758" t="n">
        <x:v>1</x:v>
      </x:c>
      <x:c r="E758" t="str">
        <x:v>Dan_mg1</x:v>
      </x:c>
      <x:c r="F758" s="17" t="n">
        <x:v>4.162274</x:v>
      </x:c>
    </x:row>
    <x:row r="759">
      <x:c r="A759" t="str">
        <x:v>ABC</x:v>
      </x:c>
      <x:c r="B759" t="str">
        <x:v>TRINITY_DN5424_c0_g1</x:v>
      </x:c>
      <x:c r="C759" t="str">
        <x:v>Dan</x:v>
      </x:c>
      <x:c r="D759" t="n">
        <x:v>2</x:v>
      </x:c>
      <x:c r="E759" t="str">
        <x:v>Dan_mg2</x:v>
      </x:c>
      <x:c r="F759" s="17" t="n">
        <x:v>7.924821</x:v>
      </x:c>
    </x:row>
    <x:row r="760">
      <x:c r="A760" t="str">
        <x:v>ABC</x:v>
      </x:c>
      <x:c r="B760" t="str">
        <x:v>TRINITY_DN5424_c0_g1</x:v>
      </x:c>
      <x:c r="C760" t="str">
        <x:v>Dan</x:v>
      </x:c>
      <x:c r="D760" t="n">
        <x:v>3</x:v>
      </x:c>
      <x:c r="E760" t="str">
        <x:v>Dan_mg3</x:v>
      </x:c>
      <x:c r="F760" s="17" t="n">
        <x:v>3.777871</x:v>
      </x:c>
    </x:row>
    <x:row r="761">
      <x:c r="A761" t="str">
        <x:v>ABC</x:v>
      </x:c>
      <x:c r="B761" t="str">
        <x:v>TRINITY_DN5424_c0_g1</x:v>
      </x:c>
      <x:c r="C761" t="str">
        <x:v>Mul</x:v>
      </x:c>
      <x:c r="D761" t="n">
        <x:v>1</x:v>
      </x:c>
      <x:c r="E761" t="str">
        <x:v>Mul_mg1</x:v>
      </x:c>
      <x:c r="F761" s="17" t="n">
        <x:v>9.915191</x:v>
      </x:c>
    </x:row>
    <x:row r="762">
      <x:c r="A762" t="str">
        <x:v>ABC</x:v>
      </x:c>
      <x:c r="B762" t="str">
        <x:v>TRINITY_DN5424_c0_g1</x:v>
      </x:c>
      <x:c r="C762" t="str">
        <x:v>Mul</x:v>
      </x:c>
      <x:c r="D762" t="n">
        <x:v>2</x:v>
      </x:c>
      <x:c r="E762" t="str">
        <x:v>Mul_mg2</x:v>
      </x:c>
      <x:c r="F762" s="17" t="n">
        <x:v>8.201632</x:v>
      </x:c>
    </x:row>
    <x:row r="763">
      <x:c r="A763" t="str">
        <x:v>ABC</x:v>
      </x:c>
      <x:c r="B763" t="str">
        <x:v>TRINITY_DN5424_c0_g1</x:v>
      </x:c>
      <x:c r="C763" t="str">
        <x:v>Mul</x:v>
      </x:c>
      <x:c r="D763" t="n">
        <x:v>3</x:v>
      </x:c>
      <x:c r="E763" t="str">
        <x:v>Mul_mg3</x:v>
      </x:c>
      <x:c r="F763" s="17" t="n">
        <x:v>8.247986</x:v>
      </x:c>
    </x:row>
    <x:row r="764">
      <x:c r="A764" t="str">
        <x:v>ABC</x:v>
      </x:c>
      <x:c r="B764" t="str">
        <x:v>TRINITY_DN54_c0_g1</x:v>
      </x:c>
      <x:c r="C764" t="str">
        <x:v>Dan</x:v>
      </x:c>
      <x:c r="D764" t="n">
        <x:v>1</x:v>
      </x:c>
      <x:c r="E764" t="str">
        <x:v>Dan_mg1</x:v>
      </x:c>
      <x:c r="F764" s="17" t="n">
        <x:v>7.144372</x:v>
      </x:c>
    </x:row>
    <x:row r="765">
      <x:c r="A765" t="str">
        <x:v>ABC</x:v>
      </x:c>
      <x:c r="B765" t="str">
        <x:v>TRINITY_DN54_c0_g1</x:v>
      </x:c>
      <x:c r="C765" t="str">
        <x:v>Dan</x:v>
      </x:c>
      <x:c r="D765" t="n">
        <x:v>2</x:v>
      </x:c>
      <x:c r="E765" t="str">
        <x:v>Dan_mg2</x:v>
      </x:c>
      <x:c r="F765" s="17" t="n">
        <x:v>9.320689999999999</x:v>
      </x:c>
    </x:row>
    <x:row r="766">
      <x:c r="A766" t="str">
        <x:v>ABC</x:v>
      </x:c>
      <x:c r="B766" t="str">
        <x:v>TRINITY_DN54_c0_g1</x:v>
      </x:c>
      <x:c r="C766" t="str">
        <x:v>Dan</x:v>
      </x:c>
      <x:c r="D766" t="n">
        <x:v>3</x:v>
      </x:c>
      <x:c r="E766" t="str">
        <x:v>Dan_mg3</x:v>
      </x:c>
      <x:c r="F766" s="17" t="n">
        <x:v>6.780251</x:v>
      </x:c>
    </x:row>
    <x:row r="767">
      <x:c r="A767" t="str">
        <x:v>ABC</x:v>
      </x:c>
      <x:c r="B767" t="str">
        <x:v>TRINITY_DN54_c0_g1</x:v>
      </x:c>
      <x:c r="C767" t="str">
        <x:v>Mul</x:v>
      </x:c>
      <x:c r="D767" t="n">
        <x:v>1</x:v>
      </x:c>
      <x:c r="E767" t="str">
        <x:v>Mul_mg1</x:v>
      </x:c>
      <x:c r="F767" s="17" t="n">
        <x:v>8.252545</x:v>
      </x:c>
    </x:row>
    <x:row r="768">
      <x:c r="A768" t="str">
        <x:v>ABC</x:v>
      </x:c>
      <x:c r="B768" t="str">
        <x:v>TRINITY_DN54_c0_g1</x:v>
      </x:c>
      <x:c r="C768" t="str">
        <x:v>Mul</x:v>
      </x:c>
      <x:c r="D768" t="n">
        <x:v>2</x:v>
      </x:c>
      <x:c r="E768" t="str">
        <x:v>Mul_mg2</x:v>
      </x:c>
      <x:c r="F768" s="17" t="n">
        <x:v>9.891909</x:v>
      </x:c>
    </x:row>
    <x:row r="769">
      <x:c r="A769" t="str">
        <x:v>ABC</x:v>
      </x:c>
      <x:c r="B769" t="str">
        <x:v>TRINITY_DN54_c0_g1</x:v>
      </x:c>
      <x:c r="C769" t="str">
        <x:v>Mul</x:v>
      </x:c>
      <x:c r="D769" t="n">
        <x:v>3</x:v>
      </x:c>
      <x:c r="E769" t="str">
        <x:v>Mul_mg3</x:v>
      </x:c>
      <x:c r="F769" s="17" t="n">
        <x:v>6.133763</x:v>
      </x:c>
    </x:row>
    <x:row r="770">
      <x:c r="A770" t="str">
        <x:v>ABC</x:v>
      </x:c>
      <x:c r="B770" t="str">
        <x:v>TRINITY_DN58313_c0_g1</x:v>
      </x:c>
      <x:c r="C770" t="str">
        <x:v>Dan</x:v>
      </x:c>
      <x:c r="D770" t="n">
        <x:v>1</x:v>
      </x:c>
      <x:c r="E770" t="str">
        <x:v>Dan_mg1</x:v>
      </x:c>
      <x:c r="F770" s="17" t="n">
        <x:v>0</x:v>
      </x:c>
    </x:row>
    <x:row r="771">
      <x:c r="A771" t="str">
        <x:v>ABC</x:v>
      </x:c>
      <x:c r="B771" t="str">
        <x:v>TRINITY_DN58313_c0_g1</x:v>
      </x:c>
      <x:c r="C771" t="str">
        <x:v>Dan</x:v>
      </x:c>
      <x:c r="D771" t="n">
        <x:v>2</x:v>
      </x:c>
      <x:c r="E771" t="str">
        <x:v>Dan_mg2</x:v>
      </x:c>
      <x:c r="F771" s="17" t="n">
        <x:v>0.222164</x:v>
      </x:c>
    </x:row>
    <x:row r="772">
      <x:c r="A772" t="str">
        <x:v>ABC</x:v>
      </x:c>
      <x:c r="B772" t="str">
        <x:v>TRINITY_DN58313_c0_g1</x:v>
      </x:c>
      <x:c r="C772" t="str">
        <x:v>Dan</x:v>
      </x:c>
      <x:c r="D772" t="n">
        <x:v>3</x:v>
      </x:c>
      <x:c r="E772" t="str">
        <x:v>Dan_mg3</x:v>
      </x:c>
      <x:c r="F772" s="17" t="n">
        <x:v>0</x:v>
      </x:c>
    </x:row>
    <x:row r="773">
      <x:c r="A773" t="str">
        <x:v>ABC</x:v>
      </x:c>
      <x:c r="B773" t="str">
        <x:v>TRINITY_DN58313_c0_g1</x:v>
      </x:c>
      <x:c r="C773" t="str">
        <x:v>Mul</x:v>
      </x:c>
      <x:c r="D773" t="n">
        <x:v>1</x:v>
      </x:c>
      <x:c r="E773" t="str">
        <x:v>Mul_mg1</x:v>
      </x:c>
      <x:c r="F773" s="17" t="n">
        <x:v>0</x:v>
      </x:c>
    </x:row>
    <x:row r="774">
      <x:c r="A774" t="str">
        <x:v>ABC</x:v>
      </x:c>
      <x:c r="B774" t="str">
        <x:v>TRINITY_DN58313_c0_g1</x:v>
      </x:c>
      <x:c r="C774" t="str">
        <x:v>Mul</x:v>
      </x:c>
      <x:c r="D774" t="n">
        <x:v>2</x:v>
      </x:c>
      <x:c r="E774" t="str">
        <x:v>Mul_mg2</x:v>
      </x:c>
      <x:c r="F774" s="17" t="n">
        <x:v>0</x:v>
      </x:c>
    </x:row>
    <x:row r="775">
      <x:c r="A775" t="str">
        <x:v>ABC</x:v>
      </x:c>
      <x:c r="B775" t="str">
        <x:v>TRINITY_DN58313_c0_g1</x:v>
      </x:c>
      <x:c r="C775" t="str">
        <x:v>Mul</x:v>
      </x:c>
      <x:c r="D775" t="n">
        <x:v>3</x:v>
      </x:c>
      <x:c r="E775" t="str">
        <x:v>Mul_mg3</x:v>
      </x:c>
      <x:c r="F775" s="17" t="n">
        <x:v>0</x:v>
      </x:c>
    </x:row>
    <x:row r="776">
      <x:c r="A776" t="str">
        <x:v>ABC</x:v>
      </x:c>
      <x:c r="B776" t="str">
        <x:v>TRINITY_DN662_c0_g1</x:v>
      </x:c>
      <x:c r="C776" t="str">
        <x:v>Dan</x:v>
      </x:c>
      <x:c r="D776" t="n">
        <x:v>1</x:v>
      </x:c>
      <x:c r="E776" t="str">
        <x:v>Dan_mg1</x:v>
      </x:c>
      <x:c r="F776" s="17" t="n">
        <x:v>1.957451</x:v>
      </x:c>
    </x:row>
    <x:row r="777">
      <x:c r="A777" t="str">
        <x:v>ABC</x:v>
      </x:c>
      <x:c r="B777" t="str">
        <x:v>TRINITY_DN662_c0_g1</x:v>
      </x:c>
      <x:c r="C777" t="str">
        <x:v>Dan</x:v>
      </x:c>
      <x:c r="D777" t="n">
        <x:v>2</x:v>
      </x:c>
      <x:c r="E777" t="str">
        <x:v>Dan_mg2</x:v>
      </x:c>
      <x:c r="F777" s="17" t="n">
        <x:v>2.6105840000000002</x:v>
      </x:c>
    </x:row>
    <x:row r="778">
      <x:c r="A778" t="str">
        <x:v>ABC</x:v>
      </x:c>
      <x:c r="B778" t="str">
        <x:v>TRINITY_DN662_c0_g1</x:v>
      </x:c>
      <x:c r="C778" t="str">
        <x:v>Dan</x:v>
      </x:c>
      <x:c r="D778" t="n">
        <x:v>3</x:v>
      </x:c>
      <x:c r="E778" t="str">
        <x:v>Dan_mg3</x:v>
      </x:c>
      <x:c r="F778" s="17" t="n">
        <x:v>2.646461</x:v>
      </x:c>
    </x:row>
    <x:row r="779">
      <x:c r="A779" t="str">
        <x:v>ABC</x:v>
      </x:c>
      <x:c r="B779" t="str">
        <x:v>TRINITY_DN662_c0_g1</x:v>
      </x:c>
      <x:c r="C779" t="str">
        <x:v>Mul</x:v>
      </x:c>
      <x:c r="D779" t="n">
        <x:v>1</x:v>
      </x:c>
      <x:c r="E779" t="str">
        <x:v>Mul_mg1</x:v>
      </x:c>
      <x:c r="F779" s="17" t="n">
        <x:v>3.196561</x:v>
      </x:c>
    </x:row>
    <x:row r="780">
      <x:c r="A780" t="str">
        <x:v>ABC</x:v>
      </x:c>
      <x:c r="B780" t="str">
        <x:v>TRINITY_DN662_c0_g1</x:v>
      </x:c>
      <x:c r="C780" t="str">
        <x:v>Mul</x:v>
      </x:c>
      <x:c r="D780" t="n">
        <x:v>2</x:v>
      </x:c>
      <x:c r="E780" t="str">
        <x:v>Mul_mg2</x:v>
      </x:c>
      <x:c r="F780" s="17" t="n">
        <x:v>3.785438</x:v>
      </x:c>
    </x:row>
    <x:row r="781">
      <x:c r="A781" t="str">
        <x:v>ABC</x:v>
      </x:c>
      <x:c r="B781" t="str">
        <x:v>TRINITY_DN662_c0_g1</x:v>
      </x:c>
      <x:c r="C781" t="str">
        <x:v>Mul</x:v>
      </x:c>
      <x:c r="D781" t="n">
        <x:v>3</x:v>
      </x:c>
      <x:c r="E781" t="str">
        <x:v>Mul_mg3</x:v>
      </x:c>
      <x:c r="F781" s="17" t="n">
        <x:v>2.860192</x:v>
      </x:c>
    </x:row>
    <x:row r="782">
      <x:c r="A782" t="str">
        <x:v>ABC</x:v>
      </x:c>
      <x:c r="B782" t="str">
        <x:v>TRINITY_DN662_c0_g4</x:v>
      </x:c>
      <x:c r="C782" t="str">
        <x:v>Dan</x:v>
      </x:c>
      <x:c r="D782" t="n">
        <x:v>1</x:v>
      </x:c>
      <x:c r="E782" t="str">
        <x:v>Dan_mg1</x:v>
      </x:c>
      <x:c r="F782" s="17" t="n">
        <x:v>9.493530999999999</x:v>
      </x:c>
    </x:row>
    <x:row r="783">
      <x:c r="A783" t="str">
        <x:v>ABC</x:v>
      </x:c>
      <x:c r="B783" t="str">
        <x:v>TRINITY_DN662_c0_g4</x:v>
      </x:c>
      <x:c r="C783" t="str">
        <x:v>Dan</x:v>
      </x:c>
      <x:c r="D783" t="n">
        <x:v>2</x:v>
      </x:c>
      <x:c r="E783" t="str">
        <x:v>Dan_mg2</x:v>
      </x:c>
      <x:c r="F783" s="17" t="n">
        <x:v>30.415137</x:v>
      </x:c>
    </x:row>
    <x:row r="784">
      <x:c r="A784" t="str">
        <x:v>ABC</x:v>
      </x:c>
      <x:c r="B784" t="str">
        <x:v>TRINITY_DN662_c0_g4</x:v>
      </x:c>
      <x:c r="C784" t="str">
        <x:v>Dan</x:v>
      </x:c>
      <x:c r="D784" t="n">
        <x:v>3</x:v>
      </x:c>
      <x:c r="E784" t="str">
        <x:v>Dan_mg3</x:v>
      </x:c>
      <x:c r="F784" s="17" t="n">
        <x:v>28.211461</x:v>
      </x:c>
    </x:row>
    <x:row r="785">
      <x:c r="A785" t="str">
        <x:v>ABC</x:v>
      </x:c>
      <x:c r="B785" t="str">
        <x:v>TRINITY_DN662_c0_g4</x:v>
      </x:c>
      <x:c r="C785" t="str">
        <x:v>Mul</x:v>
      </x:c>
      <x:c r="D785" t="n">
        <x:v>1</x:v>
      </x:c>
      <x:c r="E785" t="str">
        <x:v>Mul_mg1</x:v>
      </x:c>
      <x:c r="F785" s="17" t="n">
        <x:v>28.329359999999998</x:v>
      </x:c>
    </x:row>
    <x:row r="786">
      <x:c r="A786" t="str">
        <x:v>ABC</x:v>
      </x:c>
      <x:c r="B786" t="str">
        <x:v>TRINITY_DN662_c0_g4</x:v>
      </x:c>
      <x:c r="C786" t="str">
        <x:v>Mul</x:v>
      </x:c>
      <x:c r="D786" t="n">
        <x:v>2</x:v>
      </x:c>
      <x:c r="E786" t="str">
        <x:v>Mul_mg2</x:v>
      </x:c>
      <x:c r="F786" s="17" t="n">
        <x:v>37.536121</x:v>
      </x:c>
    </x:row>
    <x:row r="787">
      <x:c r="A787" t="str">
        <x:v>ABC</x:v>
      </x:c>
      <x:c r="B787" t="str">
        <x:v>TRINITY_DN662_c0_g4</x:v>
      </x:c>
      <x:c r="C787" t="str">
        <x:v>Mul</x:v>
      </x:c>
      <x:c r="D787" t="n">
        <x:v>3</x:v>
      </x:c>
      <x:c r="E787" t="str">
        <x:v>Mul_mg3</x:v>
      </x:c>
      <x:c r="F787" s="17" t="n">
        <x:v>33.499821</x:v>
      </x:c>
    </x:row>
    <x:row r="788">
      <x:c r="A788" t="str">
        <x:v>ABC</x:v>
      </x:c>
      <x:c r="B788" t="str">
        <x:v>TRINITY_DN7214_c0_g1</x:v>
      </x:c>
      <x:c r="C788" t="str">
        <x:v>Dan</x:v>
      </x:c>
      <x:c r="D788" t="n">
        <x:v>1</x:v>
      </x:c>
      <x:c r="E788" t="str">
        <x:v>Dan_mg1</x:v>
      </x:c>
      <x:c r="F788" s="17" t="n">
        <x:v>9.089773</x:v>
      </x:c>
    </x:row>
    <x:row r="789">
      <x:c r="A789" t="str">
        <x:v>ABC</x:v>
      </x:c>
      <x:c r="B789" t="str">
        <x:v>TRINITY_DN7214_c0_g1</x:v>
      </x:c>
      <x:c r="C789" t="str">
        <x:v>Dan</x:v>
      </x:c>
      <x:c r="D789" t="n">
        <x:v>2</x:v>
      </x:c>
      <x:c r="E789" t="str">
        <x:v>Dan_mg2</x:v>
      </x:c>
      <x:c r="F789" s="17" t="n">
        <x:v>21.401363</x:v>
      </x:c>
    </x:row>
    <x:row r="790">
      <x:c r="A790" t="str">
        <x:v>ABC</x:v>
      </x:c>
      <x:c r="B790" t="str">
        <x:v>TRINITY_DN7214_c0_g1</x:v>
      </x:c>
      <x:c r="C790" t="str">
        <x:v>Dan</x:v>
      </x:c>
      <x:c r="D790" t="n">
        <x:v>3</x:v>
      </x:c>
      <x:c r="E790" t="str">
        <x:v>Dan_mg3</x:v>
      </x:c>
      <x:c r="F790" s="17" t="n">
        <x:v>7.333459</x:v>
      </x:c>
    </x:row>
    <x:row r="791">
      <x:c r="A791" t="str">
        <x:v>ABC</x:v>
      </x:c>
      <x:c r="B791" t="str">
        <x:v>TRINITY_DN7214_c0_g1</x:v>
      </x:c>
      <x:c r="C791" t="str">
        <x:v>Mul</x:v>
      </x:c>
      <x:c r="D791" t="n">
        <x:v>1</x:v>
      </x:c>
      <x:c r="E791" t="str">
        <x:v>Mul_mg1</x:v>
      </x:c>
      <x:c r="F791" s="17" t="n">
        <x:v>18.557253</x:v>
      </x:c>
    </x:row>
    <x:row r="792">
      <x:c r="A792" t="str">
        <x:v>ABC</x:v>
      </x:c>
      <x:c r="B792" t="str">
        <x:v>TRINITY_DN7214_c0_g1</x:v>
      </x:c>
      <x:c r="C792" t="str">
        <x:v>Mul</x:v>
      </x:c>
      <x:c r="D792" t="n">
        <x:v>2</x:v>
      </x:c>
      <x:c r="E792" t="str">
        <x:v>Mul_mg2</x:v>
      </x:c>
      <x:c r="F792" s="17" t="n">
        <x:v>16.381285000000002</x:v>
      </x:c>
    </x:row>
    <x:row r="793">
      <x:c r="A793" t="str">
        <x:v>ABC</x:v>
      </x:c>
      <x:c r="B793" t="str">
        <x:v>TRINITY_DN7214_c0_g1</x:v>
      </x:c>
      <x:c r="C793" t="str">
        <x:v>Mul</x:v>
      </x:c>
      <x:c r="D793" t="n">
        <x:v>3</x:v>
      </x:c>
      <x:c r="E793" t="str">
        <x:v>Mul_mg3</x:v>
      </x:c>
      <x:c r="F793" s="17" t="n">
        <x:v>21.20481</x:v>
      </x:c>
    </x:row>
    <x:row r="794">
      <x:c r="A794" t="str">
        <x:v>ABC</x:v>
      </x:c>
      <x:c r="B794" t="str">
        <x:v>TRINITY_DN9037_c0_g1</x:v>
      </x:c>
      <x:c r="C794" t="str">
        <x:v>Dan</x:v>
      </x:c>
      <x:c r="D794" t="n">
        <x:v>1</x:v>
      </x:c>
      <x:c r="E794" t="str">
        <x:v>Dan_mg1</x:v>
      </x:c>
      <x:c r="F794" s="17" t="n">
        <x:v>1.276958</x:v>
      </x:c>
    </x:row>
    <x:row r="795">
      <x:c r="A795" t="str">
        <x:v>ABC</x:v>
      </x:c>
      <x:c r="B795" t="str">
        <x:v>TRINITY_DN9037_c0_g1</x:v>
      </x:c>
      <x:c r="C795" t="str">
        <x:v>Dan</x:v>
      </x:c>
      <x:c r="D795" t="n">
        <x:v>2</x:v>
      </x:c>
      <x:c r="E795" t="str">
        <x:v>Dan_mg2</x:v>
      </x:c>
      <x:c r="F795" s="17" t="n">
        <x:v>0.476406</x:v>
      </x:c>
    </x:row>
    <x:row r="796">
      <x:c r="A796" t="str">
        <x:v>ABC</x:v>
      </x:c>
      <x:c r="B796" t="str">
        <x:v>TRINITY_DN9037_c0_g1</x:v>
      </x:c>
      <x:c r="C796" t="str">
        <x:v>Dan</x:v>
      </x:c>
      <x:c r="D796" t="n">
        <x:v>3</x:v>
      </x:c>
      <x:c r="E796" t="str">
        <x:v>Dan_mg3</x:v>
      </x:c>
      <x:c r="F796" s="17" t="n">
        <x:v>0.405211</x:v>
      </x:c>
    </x:row>
    <x:row r="797">
      <x:c r="A797" t="str">
        <x:v>ABC</x:v>
      </x:c>
      <x:c r="B797" t="str">
        <x:v>TRINITY_DN9037_c0_g1</x:v>
      </x:c>
      <x:c r="C797" t="str">
        <x:v>Mul</x:v>
      </x:c>
      <x:c r="D797" t="n">
        <x:v>1</x:v>
      </x:c>
      <x:c r="E797" t="str">
        <x:v>Mul_mg1</x:v>
      </x:c>
      <x:c r="F797" s="17" t="n">
        <x:v>0.43401</x:v>
      </x:c>
    </x:row>
    <x:row r="798">
      <x:c r="A798" t="str">
        <x:v>ABC</x:v>
      </x:c>
      <x:c r="B798" t="str">
        <x:v>TRINITY_DN9037_c0_g1</x:v>
      </x:c>
      <x:c r="C798" t="str">
        <x:v>Mul</x:v>
      </x:c>
      <x:c r="D798" t="n">
        <x:v>2</x:v>
      </x:c>
      <x:c r="E798" t="str">
        <x:v>Mul_mg2</x:v>
      </x:c>
      <x:c r="F798" s="17" t="n">
        <x:v>0.515723</x:v>
      </x:c>
    </x:row>
    <x:row r="799">
      <x:c r="A799" t="str">
        <x:v>ABC</x:v>
      </x:c>
      <x:c r="B799" t="str">
        <x:v>TRINITY_DN9037_c0_g1</x:v>
      </x:c>
      <x:c r="C799" t="str">
        <x:v>Mul</x:v>
      </x:c>
      <x:c r="D799" t="n">
        <x:v>3</x:v>
      </x:c>
      <x:c r="E799" t="str">
        <x:v>Mul_mg3</x:v>
      </x:c>
      <x:c r="F799" s="17" t="n">
        <x:v>0.354954</x:v>
      </x:c>
    </x:row>
    <x:row r="800">
      <x:c r="A800" t="str">
        <x:v>ABC</x:v>
      </x:c>
      <x:c r="B800" t="str">
        <x:v>TRINITY_DN9474_c0_g1</x:v>
      </x:c>
      <x:c r="C800" t="str">
        <x:v>Dan</x:v>
      </x:c>
      <x:c r="D800" t="n">
        <x:v>1</x:v>
      </x:c>
      <x:c r="E800" t="str">
        <x:v>Dan_mg1</x:v>
      </x:c>
      <x:c r="F800" s="17" t="n">
        <x:v>0.235903</x:v>
      </x:c>
    </x:row>
    <x:row r="801">
      <x:c r="A801" t="str">
        <x:v>ABC</x:v>
      </x:c>
      <x:c r="B801" t="str">
        <x:v>TRINITY_DN9474_c0_g1</x:v>
      </x:c>
      <x:c r="C801" t="str">
        <x:v>Dan</x:v>
      </x:c>
      <x:c r="D801" t="n">
        <x:v>2</x:v>
      </x:c>
      <x:c r="E801" t="str">
        <x:v>Dan_mg2</x:v>
      </x:c>
      <x:c r="F801" s="17" t="n">
        <x:v>0.367467</x:v>
      </x:c>
    </x:row>
    <x:row r="802">
      <x:c r="A802" t="str">
        <x:v>ABC</x:v>
      </x:c>
      <x:c r="B802" t="str">
        <x:v>TRINITY_DN9474_c0_g1</x:v>
      </x:c>
      <x:c r="C802" t="str">
        <x:v>Dan</x:v>
      </x:c>
      <x:c r="D802" t="n">
        <x:v>3</x:v>
      </x:c>
      <x:c r="E802" t="str">
        <x:v>Dan_mg3</x:v>
      </x:c>
      <x:c r="F802" s="17" t="n">
        <x:v>0.184306</x:v>
      </x:c>
    </x:row>
    <x:row r="803">
      <x:c r="A803" t="str">
        <x:v>ABC</x:v>
      </x:c>
      <x:c r="B803" t="str">
        <x:v>TRINITY_DN9474_c0_g1</x:v>
      </x:c>
      <x:c r="C803" t="str">
        <x:v>Mul</x:v>
      </x:c>
      <x:c r="D803" t="n">
        <x:v>1</x:v>
      </x:c>
      <x:c r="E803" t="str">
        <x:v>Mul_mg1</x:v>
      </x:c>
      <x:c r="F803" s="17" t="n">
        <x:v>0.42238699999999996</x:v>
      </x:c>
    </x:row>
    <x:row r="804">
      <x:c r="A804" t="str">
        <x:v>ABC</x:v>
      </x:c>
      <x:c r="B804" t="str">
        <x:v>TRINITY_DN9474_c0_g1</x:v>
      </x:c>
      <x:c r="C804" t="str">
        <x:v>Mul</x:v>
      </x:c>
      <x:c r="D804" t="n">
        <x:v>2</x:v>
      </x:c>
      <x:c r="E804" t="str">
        <x:v>Mul_mg2</x:v>
      </x:c>
      <x:c r="F804" s="17" t="n">
        <x:v>0.21613600000000002</x:v>
      </x:c>
    </x:row>
    <x:row r="805">
      <x:c r="A805" t="str">
        <x:v>ABC</x:v>
      </x:c>
      <x:c r="B805" t="str">
        <x:v>TRINITY_DN9474_c0_g1</x:v>
      </x:c>
      <x:c r="C805" t="str">
        <x:v>Mul</x:v>
      </x:c>
      <x:c r="D805" t="n">
        <x:v>3</x:v>
      </x:c>
      <x:c r="E805" t="str">
        <x:v>Mul_mg3</x:v>
      </x:c>
      <x:c r="F805" s="17" t="n">
        <x:v>0.132467</x:v>
      </x:c>
    </x:row>
    <x:row r="806">
      <x:c r="A806" t="str">
        <x:v>ABC</x:v>
      </x:c>
      <x:c r="B806" t="str">
        <x:v>TRINITY_DN9946_c0_g2</x:v>
      </x:c>
      <x:c r="C806" t="str">
        <x:v>Dan</x:v>
      </x:c>
      <x:c r="D806" t="n">
        <x:v>1</x:v>
      </x:c>
      <x:c r="E806" t="str">
        <x:v>Dan_mg1</x:v>
      </x:c>
      <x:c r="F806" s="17" t="n">
        <x:v>2.44002</x:v>
      </x:c>
    </x:row>
    <x:row r="807">
      <x:c r="A807" t="str">
        <x:v>ABC</x:v>
      </x:c>
      <x:c r="B807" t="str">
        <x:v>TRINITY_DN9946_c0_g2</x:v>
      </x:c>
      <x:c r="C807" t="str">
        <x:v>Dan</x:v>
      </x:c>
      <x:c r="D807" t="n">
        <x:v>2</x:v>
      </x:c>
      <x:c r="E807" t="str">
        <x:v>Dan_mg2</x:v>
      </x:c>
      <x:c r="F807" s="17" t="n">
        <x:v>3.152135</x:v>
      </x:c>
    </x:row>
    <x:row r="808">
      <x:c r="A808" t="str">
        <x:v>ABC</x:v>
      </x:c>
      <x:c r="B808" t="str">
        <x:v>TRINITY_DN9946_c0_g2</x:v>
      </x:c>
      <x:c r="C808" t="str">
        <x:v>Dan</x:v>
      </x:c>
      <x:c r="D808" t="n">
        <x:v>3</x:v>
      </x:c>
      <x:c r="E808" t="str">
        <x:v>Dan_mg3</x:v>
      </x:c>
      <x:c r="F808" s="17" t="n">
        <x:v>1.3118239999999999</x:v>
      </x:c>
    </x:row>
    <x:row r="809">
      <x:c r="A809" t="str">
        <x:v>ABC</x:v>
      </x:c>
      <x:c r="B809" t="str">
        <x:v>TRINITY_DN9946_c0_g2</x:v>
      </x:c>
      <x:c r="C809" t="str">
        <x:v>Mul</x:v>
      </x:c>
      <x:c r="D809" t="n">
        <x:v>1</x:v>
      </x:c>
      <x:c r="E809" t="str">
        <x:v>Mul_mg1</x:v>
      </x:c>
      <x:c r="F809" s="17" t="n">
        <x:v>4.111879</x:v>
      </x:c>
    </x:row>
    <x:row r="810">
      <x:c r="A810" t="str">
        <x:v>ABC</x:v>
      </x:c>
      <x:c r="B810" t="str">
        <x:v>TRINITY_DN9946_c0_g2</x:v>
      </x:c>
      <x:c r="C810" t="str">
        <x:v>Mul</x:v>
      </x:c>
      <x:c r="D810" t="n">
        <x:v>2</x:v>
      </x:c>
      <x:c r="E810" t="str">
        <x:v>Mul_mg2</x:v>
      </x:c>
      <x:c r="F810" s="17" t="n">
        <x:v>4.969614</x:v>
      </x:c>
    </x:row>
    <x:row r="811">
      <x:c r="A811" t="str">
        <x:v>ABC</x:v>
      </x:c>
      <x:c r="B811" t="str">
        <x:v>TRINITY_DN9946_c0_g2</x:v>
      </x:c>
      <x:c r="C811" t="str">
        <x:v>Mul</x:v>
      </x:c>
      <x:c r="D811" t="n">
        <x:v>3</x:v>
      </x:c>
      <x:c r="E811" t="str">
        <x:v>Mul_mg3</x:v>
      </x:c>
      <x:c r="F811" s="17" t="n">
        <x:v>6.191727</x:v>
      </x:c>
    </x:row>
    <x:row r="812">
      <x:c r="A812" t="str">
        <x:v>ABC</x:v>
      </x:c>
      <x:c r="B812" t="str">
        <x:v>TRINITY_DN9986_c0_g1</x:v>
      </x:c>
      <x:c r="C812" t="str">
        <x:v>Dan</x:v>
      </x:c>
      <x:c r="D812" t="n">
        <x:v>1</x:v>
      </x:c>
      <x:c r="E812" t="str">
        <x:v>Dan_mg1</x:v>
      </x:c>
      <x:c r="F812" s="17" t="n">
        <x:v>0.628551</x:v>
      </x:c>
    </x:row>
    <x:row r="813">
      <x:c r="A813" t="str">
        <x:v>ABC</x:v>
      </x:c>
      <x:c r="B813" t="str">
        <x:v>TRINITY_DN9986_c0_g1</x:v>
      </x:c>
      <x:c r="C813" t="str">
        <x:v>Dan</x:v>
      </x:c>
      <x:c r="D813" t="n">
        <x:v>2</x:v>
      </x:c>
      <x:c r="E813" t="str">
        <x:v>Dan_mg2</x:v>
      </x:c>
      <x:c r="F813" s="17" t="n">
        <x:v>0.6244</x:v>
      </x:c>
    </x:row>
    <x:row r="814">
      <x:c r="A814" t="str">
        <x:v>ABC</x:v>
      </x:c>
      <x:c r="B814" t="str">
        <x:v>TRINITY_DN9986_c0_g1</x:v>
      </x:c>
      <x:c r="C814" t="str">
        <x:v>Dan</x:v>
      </x:c>
      <x:c r="D814" t="n">
        <x:v>3</x:v>
      </x:c>
      <x:c r="E814" t="str">
        <x:v>Dan_mg3</x:v>
      </x:c>
      <x:c r="F814" s="17" t="n">
        <x:v>1.365656</x:v>
      </x:c>
    </x:row>
    <x:row r="815">
      <x:c r="A815" t="str">
        <x:v>ABC</x:v>
      </x:c>
      <x:c r="B815" t="str">
        <x:v>TRINITY_DN9986_c0_g1</x:v>
      </x:c>
      <x:c r="C815" t="str">
        <x:v>Mul</x:v>
      </x:c>
      <x:c r="D815" t="n">
        <x:v>1</x:v>
      </x:c>
      <x:c r="E815" t="str">
        <x:v>Mul_mg1</x:v>
      </x:c>
      <x:c r="F815" s="17" t="n">
        <x:v>1.210124</x:v>
      </x:c>
    </x:row>
    <x:row r="816">
      <x:c r="A816" t="str">
        <x:v>ABC</x:v>
      </x:c>
      <x:c r="B816" t="str">
        <x:v>TRINITY_DN9986_c0_g1</x:v>
      </x:c>
      <x:c r="C816" t="str">
        <x:v>Mul</x:v>
      </x:c>
      <x:c r="D816" t="n">
        <x:v>2</x:v>
      </x:c>
      <x:c r="E816" t="str">
        <x:v>Mul_mg2</x:v>
      </x:c>
      <x:c r="F816" s="17" t="n">
        <x:v>1.501003</x:v>
      </x:c>
    </x:row>
    <x:row r="817">
      <x:c r="A817" t="str">
        <x:v>ABC</x:v>
      </x:c>
      <x:c r="B817" t="str">
        <x:v>TRINITY_DN9986_c0_g1</x:v>
      </x:c>
      <x:c r="C817" t="str">
        <x:v>Mul</x:v>
      </x:c>
      <x:c r="D817" t="n">
        <x:v>3</x:v>
      </x:c>
      <x:c r="E817" t="str">
        <x:v>Mul_mg3</x:v>
      </x:c>
      <x:c r="F817" s="17" t="n">
        <x:v>1.134659</x:v>
      </x:c>
    </x:row>
  </x:sheetData>
  <x:pageMargins left="0.7" right="0.7" top="0.75" bottom="0.75" header="0.3" footer="0.3"/>
  <x:tableParts count="1">
    <x:tablePart xmlns:r="http://schemas.openxmlformats.org/officeDocument/2006/relationships" r:id="R3482b05a09334a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14" hidden="0" customWidth="1"/>
    <x:col min="3" max="3" width="96" hidden="0" customWidth="1"/>
  </x:cols>
  <x:sheetData>
    <x:row r="1">
      <x:c r="A1" s="14" t="str">
        <x:v>sha256</x:v>
      </x:c>
      <x:c r="B1" s="14" t="str">
        <x:v>bytes</x:v>
      </x:c>
      <x:c r="C1" s="14" t="str">
        <x:v>repo_relative_path</x:v>
      </x:c>
    </x:row>
    <x:row r="2">
      <x:c r="A2" t="str">
        <x:v>23c2c53cb7827db69599cc3061fb08bbf29e304842364f4e0ee5f1ebbd4e6bd0</x:v>
      </x:c>
      <x:c r="B2" s="21" t="str">
        <x:v>9895</x:v>
      </x:c>
      <x:c r="C2" t="str">
        <x:v>results_manifest/gene_family_runs/20260819_broad_pool/ABC/ABC_broad_master_by_gene.tsv</x:v>
      </x:c>
    </x:row>
    <x:row r="3">
      <x:c r="A3" t="str">
        <x:v>035c3d499bab0c73d3fdd280c39e3c6a3c5348e283ff9b2c3540d63e9211230d</x:v>
      </x:c>
      <x:c r="B3" s="21" t="str">
        <x:v>9588</x:v>
      </x:c>
      <x:c r="C3" t="str">
        <x:v>results_manifest/gene_family_runs/20260819_broad_pool/ABC/ABC_domain_evidence.tsv</x:v>
      </x:c>
    </x:row>
    <x:row r="4">
      <x:c r="A4" t="str">
        <x:v>6e42a2cd11a6626d6263975ebc5b7c06edc196ed9b5131458453d170e9340a68</x:v>
      </x:c>
      <x:c r="B4" s="21" t="str">
        <x:v>7165</x:v>
      </x:c>
      <x:c r="C4" t="str">
        <x:v>results_manifest/gene_family_runs/20260819_broad_pool/ABC/second_pass_20260819/ABC_second_pass_review.tsv</x:v>
      </x:c>
    </x:row>
    <x:row r="5">
      <x:c r="A5" t="str">
        <x:v>d5739f8c6538c85e394646ee103ab044e34f105a4c7874dd134c39465837593c</x:v>
      </x:c>
      <x:c r="B5" s="21" t="str">
        <x:v>9138</x:v>
      </x:c>
      <x:c r="C5" t="str">
        <x:v>results_manifest/gene_family_runs/20260819_broad_pool/ABC/sequence_triage_20260819/ABC_sequence_triage.tsv</x:v>
      </x:c>
    </x:row>
    <x:row r="6">
      <x:c r="A6" t="str">
        <x:v>871a5005c6791a4ef9961f361f485a2c7b5b073b5af642f76826ab2776113244</x:v>
      </x:c>
      <x:c r="B6" s="21" t="str">
        <x:v>4339</x:v>
      </x:c>
      <x:c r="C6" t="str">
        <x:v>results_manifest/gene_family_runs/20260819_broad_pool/CarE/CarE_broad_master_by_gene.tsv</x:v>
      </x:c>
    </x:row>
    <x:row r="7">
      <x:c r="A7" t="str">
        <x:v>8357b5174b93bb4f4b764d136a423f7d0b15a7783893635d1496432dfd59ee25</x:v>
      </x:c>
      <x:c r="B7" s="21" t="str">
        <x:v>3152</x:v>
      </x:c>
      <x:c r="C7" t="str">
        <x:v>results_manifest/gene_family_runs/20260819_broad_pool/CarE/CarE_domain_evidence.tsv</x:v>
      </x:c>
    </x:row>
    <x:row r="8">
      <x:c r="A8" t="str">
        <x:v>bc31d25b2052ebc63d8b6dc461d3190c6fc631f8dba23e2f46506479fdda3a70</x:v>
      </x:c>
      <x:c r="B8" s="21" t="str">
        <x:v>4282</x:v>
      </x:c>
      <x:c r="C8" t="str">
        <x:v>results_manifest/gene_family_runs/20260819_broad_pool/GST/GST_broad_master_by_gene.tsv</x:v>
      </x:c>
    </x:row>
    <x:row r="9">
      <x:c r="A9" t="str">
        <x:v>67398d7c833cb9855cf1fd7e4c32cb3c7ada7b33820df1b92ceba30d5c395099</x:v>
      </x:c>
      <x:c r="B9" s="21" t="str">
        <x:v>5119</x:v>
      </x:c>
      <x:c r="C9" t="str">
        <x:v>results_manifest/gene_family_runs/20260819_broad_pool/GST/GST_domain_evidence.tsv</x:v>
      </x:c>
    </x:row>
    <x:row r="10">
      <x:c r="A10" t="str">
        <x:v>8ef34777981bfcda17c67415345d9d3ba3a8e4672df68f8266f247ea8c4ab953</x:v>
      </x:c>
      <x:c r="B10" s="21" t="str">
        <x:v>2509</x:v>
      </x:c>
      <x:c r="C10" t="str">
        <x:v>results_manifest/gene_family_runs/20260819_broad_pool/GST/second_pass_20260819/GST_second_pass_review.tsv</x:v>
      </x:c>
    </x:row>
    <x:row r="11">
      <x:c r="A11" t="str">
        <x:v>99ed51fede37133382013ac2a606b24bc8b44a04e20e3c6498da18fb044de276</x:v>
      </x:c>
      <x:c r="B11" s="21" t="str">
        <x:v>859</x:v>
      </x:c>
      <x:c r="C11" t="str">
        <x:v>results_manifest/gene_family_runs/20260819_broad_pool/SULT/second_pass_20260819/SULT_second_pass_review.tsv</x:v>
      </x:c>
    </x:row>
    <x:row r="12">
      <x:c r="A12" t="str">
        <x:v>8852d88a48e633ff1509714357b3ed5c768cc8ac3e0e24744b1691055c5b0f0f</x:v>
      </x:c>
      <x:c r="B12" s="21" t="str">
        <x:v>2443</x:v>
      </x:c>
      <x:c r="C12" t="str">
        <x:v>results_manifest/gene_family_runs/20260819_broad_pool/SULT/SULT_broad_master_by_gene.tsv</x:v>
      </x:c>
    </x:row>
    <x:row r="13">
      <x:c r="A13" t="str">
        <x:v>a074072d4010fbea07b23ece3d19dde6d10617ef8f9fbd78d5f9d592a6fe66fe</x:v>
      </x:c>
      <x:c r="B13" s="21" t="str">
        <x:v>1686</x:v>
      </x:c>
      <x:c r="C13" t="str">
        <x:v>results_manifest/gene_family_runs/20260819_broad_pool/SULT/SULT_domain_evidence.tsv</x:v>
      </x:c>
    </x:row>
    <x:row r="14">
      <x:c r="A14" t="str">
        <x:v>6972f2b076b9da4e7f329339615cf45387c2a39906c06afe97a21cc68881ec10</x:v>
      </x:c>
      <x:c r="B14" s="21" t="str">
        <x:v>3835</x:v>
      </x:c>
      <x:c r="C14" t="str">
        <x:v>results_manifest/gene_family_runs/20260819_broad_pool/UGT/second_pass_20260819/UGT_second_pass_review.tsv</x:v>
      </x:c>
    </x:row>
    <x:row r="15">
      <x:c r="A15" t="str">
        <x:v>abdc9cc9fc47badab6da1f16babd95c18560407c0e9511e72f333cc1735891ff</x:v>
      </x:c>
      <x:c r="B15" s="21" t="str">
        <x:v>7431</x:v>
      </x:c>
      <x:c r="C15" t="str">
        <x:v>results_manifest/gene_family_runs/20260819_broad_pool/UGT/UGT_broad_master_by_gene.tsv</x:v>
      </x:c>
    </x:row>
    <x:row r="16">
      <x:c r="A16" t="str">
        <x:v>5984b15bd530f4736ea04b23d0c4726ad0ea11c5450a97fc877c6b7d5a8342f4</x:v>
      </x:c>
      <x:c r="B16" s="21" t="str">
        <x:v>6652</x:v>
      </x:c>
      <x:c r="C16" t="str">
        <x:v>results_manifest/gene_family_runs/20260819_broad_pool/UGT/UGT_domain_evidence.tsv</x:v>
      </x:c>
    </x:row>
    <x:row r="17">
      <x:c r="A17" t="str">
        <x:v>9e14f81523ff0d12a64f370c0427a2b8e83630b99f7b395f7fa926718b0e708a</x:v>
      </x:c>
      <x:c r="B17" s="21" t="str">
        <x:v>1089</x:v>
      </x:c>
      <x:c r="C17" t="str">
        <x:v>results_manifest/gene_family_runs/20260820_profile_hmm_expansion/ABC/all_hit_genes.txt</x:v>
      </x:c>
    </x:row>
    <x:row r="18">
      <x:c r="A18" t="str">
        <x:v>017e9477b11815a01c0268c0764195243696b6673827e20972898c1cccfcbab5</x:v>
      </x:c>
      <x:c r="B18" s="21" t="str">
        <x:v>130</x:v>
      </x:c>
      <x:c r="C18" t="str">
        <x:v>results_manifest/gene_family_runs/20260820_profile_hmm_expansion/ABC/novel_profile_hit_genes.txt</x:v>
      </x:c>
    </x:row>
    <x:row r="19">
      <x:c r="A19" t="str">
        <x:v>751818192da7d5a40dab0d9c67aaa407523311e062f1762f31da3846e751a2aa</x:v>
      </x:c>
      <x:c r="B19" s="21" t="str">
        <x:v>1788</x:v>
      </x:c>
      <x:c r="C19" t="str">
        <x:v>results_manifest/gene_family_runs/20260820_profile_hmm_expansion/CarE/all_hit_genes.txt</x:v>
      </x:c>
    </x:row>
    <x:row r="20">
      <x:c r="A20" t="str">
        <x:v>6a2b009cdb98c424995185aeefdb5c677e41ccaf93fae1121f97d57b65b3b5fe</x:v>
      </x:c>
      <x:c r="B20" s="21" t="str">
        <x:v>1376</x:v>
      </x:c>
      <x:c r="C20" t="str">
        <x:v>results_manifest/gene_family_runs/20260820_profile_hmm_expansion/CarE/novel_profile_hit_genes.txt</x:v>
      </x:c>
    </x:row>
    <x:row r="21">
      <x:c r="A21" t="str">
        <x:v>fa5205d852a7c72cef27ee41e2843fe5759ba159f96c6746495d4dfe4c1c2f04</x:v>
      </x:c>
      <x:c r="B21" s="21" t="str">
        <x:v>871</x:v>
      </x:c>
      <x:c r="C21" t="str">
        <x:v>results_manifest/gene_family_runs/20260820_profile_hmm_expansion/GST/all_hit_genes.txt</x:v>
      </x:c>
    </x:row>
    <x:row r="22">
      <x:c r="A22" t="str">
        <x:v>24e8a6e8f09f714a97026fd17bb2bbf00b3cc157d5ccd08ebb5ca3bfb3ed9164</x:v>
      </x:c>
      <x:c r="B22" s="21" t="str">
        <x:v>451</x:v>
      </x:c>
      <x:c r="C22" t="str">
        <x:v>results_manifest/gene_family_runs/20260820_profile_hmm_expansion/GST/novel_profile_hit_genes.txt</x:v>
      </x:c>
    </x:row>
    <x:row r="23">
      <x:c r="A23" t="str">
        <x:v>ba055078d3f266e3aae5aeb110339066f908394aa4bdbf692ccaa27ed04f783e</x:v>
      </x:c>
      <x:c r="B23" s="21" t="str">
        <x:v>707</x:v>
      </x:c>
      <x:c r="C23" t="str">
        <x:v>results_manifest/gene_family_runs/20260820_profile_hmm_expansion/SULT/all_hit_genes.txt</x:v>
      </x:c>
    </x:row>
    <x:row r="24">
      <x:c r="A24" t="str">
        <x:v>d05948b7ded57c16e7457440db4df579d2916c3672268e928df457213c7522d1</x:v>
      </x:c>
      <x:c r="B24" s="21" t="str">
        <x:v>475</x:v>
      </x:c>
      <x:c r="C24" t="str">
        <x:v>results_manifest/gene_family_runs/20260820_profile_hmm_expansion/SULT/novel_profile_hit_genes.txt</x:v>
      </x:c>
    </x:row>
    <x:row r="25">
      <x:c r="A25" t="str">
        <x:v>73a0972c5f9e6c0da63fa1f5e52ba19e5b6b22063de95884214431bbb2582597</x:v>
      </x:c>
      <x:c r="B25" s="21" t="str">
        <x:v>1318</x:v>
      </x:c>
      <x:c r="C25" t="str">
        <x:v>results_manifest/gene_family_runs/20260820_profile_hmm_expansion/UGT/all_hit_genes.txt</x:v>
      </x:c>
    </x:row>
    <x:row r="26">
      <x:c r="A26" t="str">
        <x:v>5fe4b788bd70e5902c222e1940173c20e8c30e88b4dc6b53ac2ae3478e5d2337</x:v>
      </x:c>
      <x:c r="B26" s="21" t="str">
        <x:v>614</x:v>
      </x:c>
      <x:c r="C26" t="str">
        <x:v>results_manifest/gene_family_runs/20260820_profile_hmm_expansion/UGT/novel_profile_hit_genes.txt</x:v>
      </x:c>
    </x:row>
    <x:row r="27">
      <x:c r="A27" t="str">
        <x:v>66e52f22233aacf7398b0b6b2c1a6d109c6e3c0be38a6e8d04758d30b9ccad5f</x:v>
      </x:c>
      <x:c r="B27" s="21" t="str">
        <x:v>11859</x:v>
      </x:c>
      <x:c r="C27" t="str">
        <x:v>results_manifest/gene_family_runs/20260820_prosite_motifs/ABC/ABC.prosite_full_patterns</x:v>
      </x:c>
    </x:row>
    <x:row r="28">
      <x:c r="A28" t="str">
        <x:v>645e086c139323e6dd68ef451f3d5fca10c56e7e04b290621383a6bec913bb5f</x:v>
      </x:c>
      <x:c r="B28" s="21" t="str">
        <x:v>1231</x:v>
      </x:c>
      <x:c r="C28" t="str">
        <x:v>results_manifest/gene_family_runs/20260820_prosite_motifs/ABC/ABC.prosite_pruned</x:v>
      </x:c>
    </x:row>
    <x:row r="29">
      <x:c r="A29" t="str">
        <x:v>23b72140c592a7f7f9fd63208ca643f278976b16394aed4f549d6942cc9852ee</x:v>
      </x:c>
      <x:c r="B29" s="21" t="str">
        <x:v>18911</x:v>
      </x:c>
      <x:c r="C29" t="str">
        <x:v>results_manifest/gene_family_runs/20260820_prosite_motifs/CarE/CarE.prosite_full_patterns</x:v>
      </x:c>
    </x:row>
    <x:row r="30">
      <x:c r="A30" t="str">
        <x:v>7d97c23c1c73b14272354190c6f715ce8437db3b43ba173a7210d988f34d45d8</x:v>
      </x:c>
      <x:c r="B30" s="21" t="str">
        <x:v>1427</x:v>
      </x:c>
      <x:c r="C30" t="str">
        <x:v>results_manifest/gene_family_runs/20260820_prosite_motifs/CarE/CarE.prosite_pruned</x:v>
      </x:c>
    </x:row>
    <x:row r="31">
      <x:c r="A31" t="str">
        <x:v>602ad741df22a6699feca8cca32bdb0533ccf7c4835f92a3796634b6657c22f9</x:v>
      </x:c>
      <x:c r="B31" s="21" t="str">
        <x:v>12264</x:v>
      </x:c>
      <x:c r="C31" t="str">
        <x:v>results_manifest/gene_family_runs/20260820_prosite_motifs/GST/GST.prosite_full_patterns</x:v>
      </x:c>
    </x:row>
    <x:row r="32">
      <x:c r="A32" t="str">
        <x:v>0062696bc761e300017eefbfc82d33dea56eddefe1db04e0778e18791415ec89</x:v>
      </x:c>
      <x:c r="B32" s="21" t="str">
        <x:v>1218</x:v>
      </x:c>
      <x:c r="C32" t="str">
        <x:v>results_manifest/gene_family_runs/20260820_prosite_motifs/GST/GST.prosite_pruned</x:v>
      </x:c>
    </x:row>
    <x:row r="33">
      <x:c r="A33" t="str">
        <x:v>a719b7fd157141d7b8b8b19aecad3a50c8602dab799b31a78a40994fe5de9683</x:v>
      </x:c>
      <x:c r="B33" s="21" t="str">
        <x:v>7309</x:v>
      </x:c>
      <x:c r="C33" t="str">
        <x:v>results_manifest/gene_family_runs/20260820_prosite_motifs/SULT/SULT.prosite_full_patterns</x:v>
      </x:c>
    </x:row>
    <x:row r="34">
      <x:c r="A34" t="str">
        <x:v>66a73972e8f8fb5ab7784dd567b486dd7dd526d6f1e8f53ea74d152cca096f0d</x:v>
      </x:c>
      <x:c r="B34" s="21" t="str">
        <x:v>1094</x:v>
      </x:c>
      <x:c r="C34" t="str">
        <x:v>results_manifest/gene_family_runs/20260820_prosite_motifs/SULT/SULT.prosite_pruned</x:v>
      </x:c>
    </x:row>
    <x:row r="35">
      <x:c r="A35" t="str">
        <x:v>29bb3c5c004d10d33c2bc01f53bd832c65c55e3648f8e7279595564be5427fcb</x:v>
      </x:c>
      <x:c r="B35" s="21" t="str">
        <x:v>10258</x:v>
      </x:c>
      <x:c r="C35" t="str">
        <x:v>results_manifest/gene_family_runs/20260820_prosite_motifs/UGT/UGT.prosite_full_patterns</x:v>
      </x:c>
    </x:row>
    <x:row r="36">
      <x:c r="A36" t="str">
        <x:v>8fd0071afa78611e7d52f6d0c602d0882aee60aa1150783442b4c9db3fa6e6ac</x:v>
      </x:c>
      <x:c r="B36" s="21" t="str">
        <x:v>1222</x:v>
      </x:c>
      <x:c r="C36" t="str">
        <x:v>results_manifest/gene_family_runs/20260820_prosite_motifs/UGT/UGT.prosite_pruned</x:v>
      </x:c>
    </x:row>
    <x:row r="37">
      <x:c r="A37" t="str">
        <x:v>3414fcc04147a36799c1ed8d612e96ea6a68eda646cf1547516a087f0f99e5c2</x:v>
      </x:c>
      <x:c r="B37" s="21" t="str">
        <x:v>44946</x:v>
      </x:c>
      <x:c r="C37" t="str">
        <x:v>results_manifest/gene_family_runs/20260820_representative_iqtree_results/model_finder/ABC/ABC_Phoenei_longest_per_gene.fa</x:v>
      </x:c>
    </x:row>
    <x:row r="38">
      <x:c r="A38" t="str">
        <x:v>7a486092509211632638d09ed630b8c4a4abd931b5c8300d49dfa4c2d309a7df</x:v>
      </x:c>
      <x:c r="B38" s="21" t="str">
        <x:v>14259</x:v>
      </x:c>
      <x:c r="C38" t="str">
        <x:v>results_manifest/gene_family_runs/20260820_representative_iqtree_results/model_finder/CarE/CarE_Phoenei_longest_per_gene.fa</x:v>
      </x:c>
    </x:row>
    <x:row r="39">
      <x:c r="A39" t="str">
        <x:v>eb562a09065787b55d8f6f52cff2c559806992c8cc28852a7be21e0d2656c825</x:v>
      </x:c>
      <x:c r="B39" s="21" t="str">
        <x:v>8299</x:v>
      </x:c>
      <x:c r="C39" t="str">
        <x:v>results_manifest/gene_family_runs/20260820_representative_iqtree_results/model_finder/GST/GST_Phoenei_longest_per_gene.fa</x:v>
      </x:c>
    </x:row>
    <x:row r="40">
      <x:c r="A40" t="str">
        <x:v>0f250fb7038921f07e649e7c167aa34b8660ef9cba4af89a020aeaddc4e617d1</x:v>
      </x:c>
      <x:c r="B40" s="21" t="str">
        <x:v>5244</x:v>
      </x:c>
      <x:c r="C40" t="str">
        <x:v>results_manifest/gene_family_runs/20260820_representative_iqtree_results/model_finder/SULT/SULT_Phoenei_longest_per_gene.fa</x:v>
      </x:c>
    </x:row>
    <x:row r="41">
      <x:c r="A41" t="str">
        <x:v>e8094c18b9436a1eff356088012fa2903081350c9222de7a2c4c81c350f1826f</x:v>
      </x:c>
      <x:c r="B41" s="21" t="str">
        <x:v>20028</x:v>
      </x:c>
      <x:c r="C41" t="str">
        <x:v>results_manifest/gene_family_runs/20260820_representative_iqtree_results/model_finder/UGT/UGT_Phoenei_longest_per_gene.fa</x:v>
      </x:c>
    </x:row>
    <x:row r="42">
      <x:c r="A42" t="str">
        <x:v>6febe7788884e7830db411ff67e9f963b51a798b96ede5e9e903f1b731128bc4</x:v>
      </x:c>
      <x:c r="B42" s="21" t="str">
        <x:v>7090211</x:v>
      </x:c>
      <x:c r="C42" t="str">
        <x:v>results_manifest/gene_family_runs/20260821_proteome_swissprot_top5/Phoenei_longest_vs_sprot_top5.tsv</x:v>
      </x:c>
    </x:row>
    <x:row r="43">
      <x:c r="A43" t="str">
        <x:v>d484b95de7cf1c0830eaee7ced11c4d06f279a21a509763309f8220ce6be51e9</x:v>
      </x:c>
      <x:c r="B43" s="21" t="str">
        <x:v>1558</x:v>
      </x:c>
      <x:c r="C43" t="str">
        <x:v>results_manifest/gene_family_runs/20260821_proteome_vs_family_references/ABC/ABC_hit_genes_e1e3.txt</x:v>
      </x:c>
    </x:row>
    <x:row r="44">
      <x:c r="A44" t="str">
        <x:v>dda23d0645e8c948c6b59c5603b919d6a51f0da1227083f8422be899efe7f0a0</x:v>
      </x:c>
      <x:c r="B44" s="21" t="str">
        <x:v>718</x:v>
      </x:c>
      <x:c r="C44" t="str">
        <x:v>results_manifest/gene_family_runs/20260821_proteome_vs_family_references/ABC/ABC_hit_genes_e1e5_cov40.txt</x:v>
      </x:c>
    </x:row>
    <x:row r="45">
      <x:c r="A45" t="str">
        <x:v>267954870312f729505f6d0a21624399b10cde5a6cdb2be672c13103ee0bcf93</x:v>
      </x:c>
      <x:c r="B45" s="21" t="str">
        <x:v>1657375</x:v>
      </x:c>
      <x:c r="C45" t="str">
        <x:v>results_manifest/gene_family_runs/20260821_proteome_vs_family_references/ABC/ABC_proteome_vs_references.with_coverage.tsv</x:v>
      </x:c>
    </x:row>
    <x:row r="46">
      <x:c r="A46" t="str">
        <x:v>d253090e5e0475e0a33693a2ecae0061aaf7b419294ca4fa28aaeb10cc93df87</x:v>
      </x:c>
      <x:c r="B46" s="21" t="str">
        <x:v>2403</x:v>
      </x:c>
      <x:c r="C46" t="str">
        <x:v>results_manifest/gene_family_runs/20260821_proteome_vs_family_references/CarE/CarE_hit_genes_e1e3.txt</x:v>
      </x:c>
    </x:row>
    <x:row r="47">
      <x:c r="A47" t="str">
        <x:v>2a1f0b2832ddf3d02ec52ef746ec8da4adc09ae723be482ffe4059f14f5dd97f</x:v>
      </x:c>
      <x:c r="B47" s="21" t="str">
        <x:v>1127</x:v>
      </x:c>
      <x:c r="C47" t="str">
        <x:v>results_manifest/gene_family_runs/20260821_proteome_vs_family_references/CarE/CarE_hit_genes_e1e5_cov40.txt</x:v>
      </x:c>
    </x:row>
    <x:row r="48">
      <x:c r="A48" t="str">
        <x:v>82794ce0f9f8fbd7928ec90a1c4d5130b7421226be169ddea8ce63bb0d5d0db6</x:v>
      </x:c>
      <x:c r="B48" s="21" t="str">
        <x:v>1216734</x:v>
      </x:c>
      <x:c r="C48" t="str">
        <x:v>results_manifest/gene_family_runs/20260821_proteome_vs_family_references/CarE/CarE_proteome_vs_references.with_coverage.tsv</x:v>
      </x:c>
    </x:row>
    <x:row r="49">
      <x:c r="A49" t="str">
        <x:v>ff0b742a65d84359eaa2e0b16245af8c051e5b064109a64d568dc0863578c345</x:v>
      </x:c>
      <x:c r="B49" s="21" t="str">
        <x:v>2687</x:v>
      </x:c>
      <x:c r="C49" t="str">
        <x:v>results_manifest/gene_family_runs/20260821_proteome_vs_family_references/GST/GST_hit_genes_e1e3.txt</x:v>
      </x:c>
    </x:row>
    <x:row r="50">
      <x:c r="A50" t="str">
        <x:v>e3543bdf7a723e29f5101a950d25036c98886ab87b35539fa835cdabd12b664b</x:v>
      </x:c>
      <x:c r="B50" s="21" t="str">
        <x:v>1453</x:v>
      </x:c>
      <x:c r="C50" t="str">
        <x:v>results_manifest/gene_family_runs/20260821_proteome_vs_family_references/GST/GST_hit_genes_e1e5_cov40.txt</x:v>
      </x:c>
    </x:row>
    <x:row r="51">
      <x:c r="A51" t="str">
        <x:v>c2250df3a1e38943c1840730e541eaf19c2087cce012f09dde27061aff11ceef</x:v>
      </x:c>
      <x:c r="B51" s="21" t="str">
        <x:v>863976</x:v>
      </x:c>
      <x:c r="C51" t="str">
        <x:v>results_manifest/gene_family_runs/20260821_proteome_vs_family_references/GST/GST_proteome_vs_references.with_coverage.tsv</x:v>
      </x:c>
    </x:row>
    <x:row r="52">
      <x:c r="A52" t="str">
        <x:v>767677be129e05422216c687a0067bfdb43abac7b7ae5a0878572f0067a2289f</x:v>
      </x:c>
      <x:c r="B52" s="21" t="str">
        <x:v>3228</x:v>
      </x:c>
      <x:c r="C52" t="str">
        <x:v>results_manifest/gene_family_runs/20260821_proteome_vs_family_references/SULT/SULT_hit_genes_e1e3.txt</x:v>
      </x:c>
    </x:row>
    <x:row r="53">
      <x:c r="A53" t="str">
        <x:v>8e2bfa308ecac109398a9e38b4d4ea0195e1c8cec2ea6559c2e2269a7bb9f44a</x:v>
      </x:c>
      <x:c r="B53" s="21" t="str">
        <x:v>1913</x:v>
      </x:c>
      <x:c r="C53" t="str">
        <x:v>results_manifest/gene_family_runs/20260821_proteome_vs_family_references/SULT/SULT_hit_genes_e1e5_cov40.txt</x:v>
      </x:c>
    </x:row>
    <x:row r="54">
      <x:c r="A54" t="str">
        <x:v>91c44b69cf8d43b4ae1aa9817098f77f5b154c733509af10c9615d5a77a5b6e9</x:v>
      </x:c>
      <x:c r="B54" s="21" t="str">
        <x:v>817014</x:v>
      </x:c>
      <x:c r="C54" t="str">
        <x:v>results_manifest/gene_family_runs/20260821_proteome_vs_family_references/SULT/SULT_proteome_vs_references.with_coverage.tsv</x:v>
      </x:c>
    </x:row>
    <x:row r="55">
      <x:c r="A55" t="str">
        <x:v>1038781e0a445c10c8616a0532404f17baab605e74725d31c14b90c7ad541481</x:v>
      </x:c>
      <x:c r="B55" s="21" t="str">
        <x:v>6192</x:v>
      </x:c>
      <x:c r="C55" t="str">
        <x:v>results_manifest/gene_family_runs/20260821_proteome_vs_family_references/UGT/UGT_hit_genes_e1e3.txt</x:v>
      </x:c>
    </x:row>
    <x:row r="56">
      <x:c r="A56" t="str">
        <x:v>7fed63b186c3721a8d46eefc0a824ae3009a6d4c2944e146dcf31402668239a3</x:v>
      </x:c>
      <x:c r="B56" s="21" t="str">
        <x:v>2428</x:v>
      </x:c>
      <x:c r="C56" t="str">
        <x:v>results_manifest/gene_family_runs/20260821_proteome_vs_family_references/UGT/UGT_hit_genes_e1e5_cov40.txt</x:v>
      </x:c>
    </x:row>
    <x:row r="57">
      <x:c r="A57" t="str">
        <x:v>a7be597a3144ec7b467dfbc36da96b234c13b0c8a80dbef66271bfebd7a440a3</x:v>
      </x:c>
      <x:c r="B57" s="21" t="str">
        <x:v>1060857</x:v>
      </x:c>
      <x:c r="C57" t="str">
        <x:v>results_manifest/gene_family_runs/20260821_proteome_vs_family_references/UGT/UGT_proteome_vs_references.with_coverage.tsv</x:v>
      </x:c>
    </x:row>
    <x:row r="58">
      <x:c r="A58" t="str">
        <x:v>d43b49c6e252c1cc40e2b2793913422cb5485014399a19e9ab945bd3624be2fe</x:v>
      </x:c>
      <x:c r="B58" s="21" t="str">
        <x:v>2196</x:v>
      </x:c>
      <x:c r="C58" t="str">
        <x:v>results_manifest/gene_family_runs/20260821_representative_all_vs_all/derived_clusters_20260821/ABC_rough_components.tsv</x:v>
      </x:c>
    </x:row>
    <x:row r="59">
      <x:c r="A59" t="str">
        <x:v>bc5146a78f4da55ba82dfe1eac4598a781f080ba5e4010f93139b00bc8826c76</x:v>
      </x:c>
      <x:c r="B59" s="21" t="str">
        <x:v>970</x:v>
      </x:c>
      <x:c r="C59" t="str">
        <x:v>results_manifest/gene_family_runs/20260821_representative_all_vs_all/derived_clusters_20260821/CarE_rough_components.tsv</x:v>
      </x:c>
    </x:row>
    <x:row r="60">
      <x:c r="A60" t="str">
        <x:v>96ef226c9bcb31229219128fe2948b954fdcd4a90239aad48d5a0a56d8093c15</x:v>
      </x:c>
      <x:c r="B60" s="21" t="str">
        <x:v>916</x:v>
      </x:c>
      <x:c r="C60" t="str">
        <x:v>results_manifest/gene_family_runs/20260821_representative_all_vs_all/derived_clusters_20260821/GST_rough_components.tsv</x:v>
      </x:c>
    </x:row>
    <x:row r="61">
      <x:c r="A61" t="str">
        <x:v>95da1c284c2cc433d8ec32b54b1f8e52c7041893e5a09aebe0261d044431a21a</x:v>
      </x:c>
      <x:c r="B61" s="21" t="str">
        <x:v>551</x:v>
      </x:c>
      <x:c r="C61" t="str">
        <x:v>results_manifest/gene_family_runs/20260821_representative_all_vs_all/derived_clusters_20260821/SULT_rough_components.tsv</x:v>
      </x:c>
    </x:row>
    <x:row r="62">
      <x:c r="A62" t="str">
        <x:v>fe78b0570d5c1dec1245d02f5f78db80f286e6ff8c386bd1a0801a0670dcd1e4</x:v>
      </x:c>
      <x:c r="B62" s="21" t="str">
        <x:v>1626</x:v>
      </x:c>
      <x:c r="C62" t="str">
        <x:v>results_manifest/gene_family_runs/20260821_representative_all_vs_all/derived_clusters_20260821/UGT_rough_components.tsv</x:v>
      </x:c>
    </x:row>
    <x:row r="63">
      <x:c r="B63" s="21"/>
    </x:row>
    <x:row r="64">
      <x:c r="B64" s="21"/>
    </x:row>
    <x:row r="65">
      <x:c r="B65" s="21"/>
    </x:row>
    <x:row r="66">
      <x:c r="B66" s="21"/>
    </x:row>
    <x:row r="67">
      <x:c r="B67" s="21"/>
    </x:row>
    <x:row r="68">
      <x:c r="B68" s="21"/>
    </x:row>
    <x:row r="69">
      <x:c r="B69" s="21"/>
    </x:row>
    <x:row r="70">
      <x:c r="B70" s="21"/>
    </x:row>
    <x:row r="71">
      <x:c r="B71" s="21"/>
    </x:row>
    <x:row r="72">
      <x:c r="B72" s="21"/>
    </x:row>
    <x:row r="73">
      <x:c r="B73" s="21"/>
    </x:row>
    <x:row r="74">
      <x:c r="B74" s="21"/>
    </x:row>
    <x:row r="75">
      <x:c r="B75" s="21"/>
    </x:row>
    <x:row r="76">
      <x:c r="B76" s="21"/>
    </x:row>
    <x:row r="77">
      <x:c r="B77" s="21"/>
    </x:row>
    <x:row r="78">
      <x:c r="B78" s="21"/>
    </x:row>
    <x:row r="79">
      <x:c r="B79" s="21"/>
    </x:row>
    <x:row r="80">
      <x:c r="B80" s="21"/>
    </x:row>
    <x:row r="81">
      <x:c r="B81" s="21"/>
    </x:row>
    <x:row r="82">
      <x:c r="B82" s="21"/>
    </x:row>
    <x:row r="83">
      <x:c r="B83" s="21"/>
    </x:row>
    <x:row r="84">
      <x:c r="B84" s="21"/>
    </x:row>
    <x:row r="85">
      <x:c r="B85" s="21"/>
    </x:row>
    <x:row r="86">
      <x:c r="B86" s="21"/>
    </x:row>
    <x:row r="87">
      <x:c r="B87" s="21"/>
    </x:row>
    <x:row r="88">
      <x:c r="B88" s="21"/>
    </x:row>
    <x:row r="89">
      <x:c r="B89" s="21"/>
    </x:row>
    <x:row r="90">
      <x:c r="B90" s="21"/>
    </x:row>
    <x:row r="91">
      <x:c r="B91" s="21"/>
    </x:row>
    <x:row r="92">
      <x:c r="B92" s="21"/>
    </x:row>
    <x:row r="93">
      <x:c r="B93" s="21"/>
    </x:row>
    <x:row r="94">
      <x:c r="B94" s="21"/>
    </x:row>
    <x:row r="95">
      <x:c r="B95" s="21"/>
    </x:row>
    <x:row r="96">
      <x:c r="B96" s="21"/>
    </x:row>
    <x:row r="97">
      <x:c r="B97" s="21"/>
    </x:row>
    <x:row r="98">
      <x:c r="B98" s="21"/>
    </x:row>
    <x:row r="99">
      <x:c r="B99" s="21"/>
    </x:row>
    <x:row r="100">
      <x:c r="B100" s="21"/>
    </x:row>
  </x:sheetData>
  <x:pageMargins left="0.7" right="0.7" top="0.75" bottom="0.75" header="0.3" footer="0.3"/>
  <x:tableParts count="1">
    <x:tablePart xmlns:r="http://schemas.openxmlformats.org/officeDocument/2006/relationships" r:id="R513b162b9c974e96"/>
  </x:tableParts>
</x:worksheet>
</file>