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e85e59066241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22e521b05a54a3a"/>
    <x:sheet xmlns:r="http://schemas.openxmlformats.org/officeDocument/2006/relationships" name="Functional_Panel" sheetId="2" r:id="R5deff98d47c8447e"/>
    <x:sheet xmlns:r="http://schemas.openxmlformats.org/officeDocument/2006/relationships" name="Family_Distribution" sheetId="3" r:id="R6be33b55fed147b6"/>
    <x:sheet xmlns:r="http://schemas.openxmlformats.org/officeDocument/2006/relationships" name="Random_Background" sheetId="4" r:id="R1e39f4bc5f4b4a9e"/>
    <x:sheet xmlns:r="http://schemas.openxmlformats.org/officeDocument/2006/relationships" name="Detox_Genes" sheetId="5" r:id="R68a87d9f3e8c42d6"/>
    <x:sheet xmlns:r="http://schemas.openxmlformats.org/officeDocument/2006/relationships" name="Methods" sheetId="6" r:id="Rb89a0453d60f4e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i/>
      <x:sz val="11"/>
      <x:color rgb="FF17324D"/>
      <x:name val="Carlito"/>
    </x:font>
    <x:font>
      <x:b/>
      <x:sz val="10"/>
      <x:color rgb="FFFFFFFF"/>
      <x:name val="Aptos"/>
    </x:font>
    <x:font>
      <x:sz val="10"/>
      <x:name val="Aptos"/>
    </x:font>
    <x:font>
      <x:i/>
      <x:sz val="10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8F3F2"/>
      </x:patternFill>
    </x:fill>
  </x:fills>
  <x:borders count="10">
    <x:border/>
    <x:border>
      <x:left style="thin">
        <x:color rgb="FFB8C4CE"/>
      </x:left>
      <x:top style="thin">
        <x:color rgb="FFB8C4CE"/>
      </x:top>
      <x:bottom style="thin">
        <x:color rgb="FFB8C4CE"/>
      </x:bottom>
    </x:border>
    <x:border>
      <x:top style="thin">
        <x:color rgb="FFB8C4CE"/>
      </x:top>
      <x:bottom style="thin">
        <x:color rgb="FFB8C4CE"/>
      </x:bottom>
    </x:border>
    <x:border>
      <x:right style="thin">
        <x:color rgb="FFB8C4CE"/>
      </x:right>
      <x:top style="thin">
        <x:color rgb="FFB8C4CE"/>
      </x:top>
      <x:bottom style="thin">
        <x:color rgb="FFB8C4CE"/>
      </x:bottom>
    </x:border>
    <x:border>
      <x:left style="thin">
        <x:color rgb="FFB8C4CE"/>
      </x:left>
      <x:top style="thin">
        <x:color rgb="FFB8C4CE"/>
      </x:top>
      <x:bottom style="thin">
        <x:color rgb="FFE5E7EB"/>
      </x:bottom>
    </x:border>
    <x:border>
      <x:top style="thin">
        <x:color rgb="FFB8C4CE"/>
      </x:top>
      <x:bottom style="thin">
        <x:color rgb="FFE5E7EB"/>
      </x:bottom>
    </x:border>
    <x:border>
      <x:left style="thin">
        <x:color rgb="FFB8C4CE"/>
      </x:left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left style="thin">
        <x:color rgb="FFB8C4CE"/>
      </x:left>
      <x:top style="thin">
        <x:color rgb="FFE5E7EB"/>
      </x:top>
      <x:bottom style="thin">
        <x:color rgb="FFB8C4CE"/>
      </x:bottom>
    </x:border>
    <x:border>
      <x:top style="thin">
        <x:color rgb="FFE5E7EB"/>
      </x:top>
      <x:bottom style="thin">
        <x:color rgb="FFB8C4CE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0" fontId="4" fillId="3" borderId="4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200" fontId="5" fillId="0" borderId="7" xfId="0" applyNumberFormat="1" applyFont="1" applyFill="1" applyBorder="1"/>
    <x:xf numFmtId="201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200" fontId="5" fillId="0" borderId="9" xfId="0" applyNumberFormat="1" applyFont="1" applyFill="1" applyBorder="1"/>
    <x:xf numFmtId="201" fontId="5" fillId="0" borderId="9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c483b4084042b5" /><Relationship Type="http://schemas.openxmlformats.org/officeDocument/2006/relationships/theme" Target="/xl/theme/theme1.xml" Id="Rc08c460cbb444bc7" /><Relationship Type="http://schemas.openxmlformats.org/officeDocument/2006/relationships/sharedStrings" Target="/xl/sharedStrings.xml" Id="R1add0ccd5a354212" /><Relationship Type="http://schemas.openxmlformats.org/officeDocument/2006/relationships/worksheet" Target="/xl/worksheets/sheet1.xml" Id="R422e521b05a54a3a" /><Relationship Type="http://schemas.openxmlformats.org/officeDocument/2006/relationships/worksheet" Target="/xl/worksheets/sheet2.xml" Id="R5deff98d47c8447e" /><Relationship Type="http://schemas.openxmlformats.org/officeDocument/2006/relationships/worksheet" Target="/xl/worksheets/sheet3.xml" Id="R6be33b55fed147b6" /><Relationship Type="http://schemas.openxmlformats.org/officeDocument/2006/relationships/worksheet" Target="/xl/worksheets/sheet4.xml" Id="R1e39f4bc5f4b4a9e" /><Relationship Type="http://schemas.openxmlformats.org/officeDocument/2006/relationships/worksheet" Target="/xl/worksheets/sheet5.xml" Id="R68a87d9f3e8c42d6" /><Relationship Type="http://schemas.openxmlformats.org/officeDocument/2006/relationships/worksheet" Target="/xl/worksheets/sheet6.xml" Id="Rb89a0453d60f4e0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1bad91fdccc446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Expression landscape: digestive enzymes tower above detox and developmental markers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Group</c:v>
          </c:tx>
          <c:cat>
            <c:strRef>
              <c:f>'Overview'!$A$14:$A$35</c:f>
              <c:strCache>
                <c:ptCount val="0"/>
              </c:strCache>
            </c:strRef>
          </c:cat>
          <c:val>
            <c:numRef>
              <c:f>'Overview'!$B$14:$B$35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log10(TPM+1)</c:v>
          </c:tx>
          <c:cat>
            <c:strRef>
              <c:f>'Overview'!$A$14:$A$35</c:f>
              <c:strCache>
                <c:ptCount val="0"/>
              </c:strCache>
            </c:strRef>
          </c:cat>
          <c:val>
            <c:numRef>
              <c:f>'Overview'!$C$14:$C$35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bad91fdccc446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22407ed95ba4b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3.130000114440918" hidden="0" customWidth="1"/>
    <x:col min="3" max="3" width="13" hidden="0" customWidth="1"/>
    <x:col min="4" max="4" width="14.380000114440918" hidden="0" customWidth="1"/>
    <x:col min="5" max="5" width="16.25" hidden="0" customWidth="1"/>
    <x:col min="6" max="6" width="21" hidden="0" customWidth="1"/>
  </x:cols>
  <x:sheetData>
    <x:row r="1" ht="30" customHeight="1">
      <x:c r="A1" s="31" t="str">
        <x:v>P. hoenei general expression atlas — background for Phase I–III metabolism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 ht="28" customHeight="1">
      <x:c r="A3" s="33" t="str">
        <x:v>TPM is shown on a log10(TPM+1) scale because the observed range spans low developmental regulators to extremely abundant digestive enzymes.</x:v>
      </x:c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</x:row>
    <x:row r="5">
      <x:c r="A5" s="34" t="str">
        <x:v>Detox family</x:v>
      </x:c>
      <x:c r="B5" s="35" t="str">
        <x:v>Candidate genes</x:v>
      </x:c>
      <x:c r="C5" s="35" t="str">
        <x:v>Mean gene TPM</x:v>
      </x:c>
      <x:c r="D5" s="35" t="str">
        <x:v>Median gene TPM</x:v>
      </x:c>
      <x:c r="E5" s="35" t="str">
        <x:v>Maximum gene TPM</x:v>
      </x:c>
      <x:c r="F5" s="36" t="str">
        <x:v>Genes with mean TPM ≥10</x:v>
      </x:c>
      <x:c r="G5" s="32"/>
      <x:c r="H5" s="32"/>
      <x:c r="I5" s="32"/>
      <x:c r="J5" s="32"/>
      <x:c r="K5" s="32"/>
      <x:c r="L5" s="32"/>
      <x:c r="M5" s="32"/>
      <x:c r="N5" s="32"/>
    </x:row>
    <x:row r="6">
      <x:c r="A6" s="32" t="str">
        <x:v>CarE</x:v>
      </x:c>
      <x:c r="B6" s="32" t="n">
        <x:v>20</x:v>
      </x:c>
      <x:c r="C6" s="37" t="n">
        <x:v>104.98868513333332</x:v>
      </x:c>
      <x:c r="D6" s="37" t="n">
        <x:v>23.261441333333334</x:v>
      </x:c>
      <x:c r="E6" s="37" t="n">
        <x:v>919.0747379999999</x:v>
      </x:c>
      <x:c r="F6" s="32" t="n">
        <x:v>12</x:v>
      </x:c>
      <x:c r="G6" s="32"/>
      <x:c r="H6" s="32"/>
      <x:c r="I6" s="32"/>
      <x:c r="J6" s="32"/>
      <x:c r="K6" s="32"/>
      <x:c r="L6" s="32"/>
      <x:c r="M6" s="32"/>
      <x:c r="N6" s="32"/>
    </x:row>
    <x:row r="7">
      <x:c r="A7" s="32" t="str">
        <x:v>GST</x:v>
      </x:c>
      <x:c r="B7" s="32" t="n">
        <x:v>20</x:v>
      </x:c>
      <x:c r="C7" s="37" t="n">
        <x:v>58.23504300833334</x:v>
      </x:c>
      <x:c r="D7" s="37" t="n">
        <x:v>11.305675166666667</x:v>
      </x:c>
      <x:c r="E7" s="37" t="n">
        <x:v>342.8254621666667</x:v>
      </x:c>
      <x:c r="F7" s="32" t="n">
        <x:v>12</x:v>
      </x:c>
      <x:c r="G7" s="32"/>
      <x:c r="H7" s="32"/>
      <x:c r="I7" s="32"/>
      <x:c r="J7" s="32"/>
      <x:c r="K7" s="32"/>
      <x:c r="L7" s="32"/>
      <x:c r="M7" s="32"/>
      <x:c r="N7" s="32"/>
    </x:row>
    <x:row r="8">
      <x:c r="A8" s="32" t="str">
        <x:v>UGT</x:v>
      </x:c>
      <x:c r="B8" s="32" t="n">
        <x:v>36</x:v>
      </x:c>
      <x:c r="C8" s="37" t="n">
        <x:v>11.37799114351852</x:v>
      </x:c>
      <x:c r="D8" s="37" t="n">
        <x:v>3.2360426666666666</x:v>
      </x:c>
      <x:c r="E8" s="37" t="n">
        <x:v>84.25575333333333</x:v>
      </x:c>
      <x:c r="F8" s="32" t="n">
        <x:v>11</x:v>
      </x:c>
      <x:c r="G8" s="32"/>
      <x:c r="H8" s="32"/>
      <x:c r="I8" s="32"/>
      <x:c r="J8" s="32"/>
      <x:c r="K8" s="32"/>
      <x:c r="L8" s="32"/>
      <x:c r="M8" s="32"/>
      <x:c r="N8" s="32"/>
    </x:row>
    <x:row r="9">
      <x:c r="A9" s="32" t="str">
        <x:v>SULT</x:v>
      </x:c>
      <x:c r="B9" s="32" t="n">
        <x:v>11</x:v>
      </x:c>
      <x:c r="C9" s="37" t="n">
        <x:v>76.69867631818182</x:v>
      </x:c>
      <x:c r="D9" s="37" t="n">
        <x:v>6.0612675</x:v>
      </x:c>
      <x:c r="E9" s="37" t="n">
        <x:v>456.99448766666666</x:v>
      </x:c>
      <x:c r="F9" s="32" t="n">
        <x:v>4</x:v>
      </x:c>
      <x:c r="G9" s="32"/>
      <x:c r="H9" s="32"/>
      <x:c r="I9" s="32"/>
      <x:c r="J9" s="32"/>
      <x:c r="K9" s="32"/>
      <x:c r="L9" s="32"/>
      <x:c r="M9" s="32"/>
      <x:c r="N9" s="32"/>
    </x:row>
    <x:row r="10">
      <x:c r="A10" s="32" t="str">
        <x:v>ABC</x:v>
      </x:c>
      <x:c r="B10" s="32" t="n">
        <x:v>49</x:v>
      </x:c>
      <x:c r="C10" s="37" t="n">
        <x:v>4.472319448979591</x:v>
      </x:c>
      <x:c r="D10" s="37" t="n">
        <x:v>0.6462213333333333</x:v>
      </x:c>
      <x:c r="E10" s="37" t="n">
        <x:v>27.914238499999996</x:v>
      </x:c>
      <x:c r="F10" s="32" t="n">
        <x:v>8</x:v>
      </x:c>
      <x:c r="G10" s="32"/>
      <x:c r="H10" s="32"/>
      <x:c r="I10" s="32"/>
      <x:c r="J10" s="32"/>
      <x:c r="K10" s="32"/>
      <x:c r="L10" s="32"/>
      <x:c r="M10" s="32"/>
      <x:c r="N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</x:row>
    <x:row r="13">
      <x:c r="A13" s="34" t="str">
        <x:v>Reference marker</x:v>
      </x:c>
      <x:c r="B13" s="35" t="str">
        <x:v>Group</x:v>
      </x:c>
      <x:c r="C13" s="36" t="str">
        <x:v>log10(TPM+1)</x:v>
      </x:c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</x:row>
    <x:row r="14">
      <x:c r="A14" s="32" t="str">
        <x:v>Ribosomal protein eL32 (RP49-like)</x:v>
      </x:c>
      <x:c r="B14" s="32" t="str">
        <x:v>Housekeeping</x:v>
      </x:c>
      <x:c r="C14" s="37" t="n">
        <x:f>'Functional_Panel'!M4</x:f>
        <x:v>2.81983883409117</x:v>
      </x:c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</x:row>
    <x:row r="15">
      <x:c r="A15" s="32" t="str">
        <x:v>Actin</x:v>
      </x:c>
      <x:c r="B15" s="32" t="str">
        <x:v>Housekeeping</x:v>
      </x:c>
      <x:c r="C15" s="37" t="n">
        <x:f>'Functional_Panel'!M5</x:f>
        <x:v>2.99646002109316</x:v>
      </x:c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</x:row>
    <x:row r="16">
      <x:c r="A16" s="32" t="str">
        <x:v>Alpha/Beta tubulin</x:v>
      </x:c>
      <x:c r="B16" s="32" t="str">
        <x:v>Housekeeping</x:v>
      </x:c>
      <x:c r="C16" s="37" t="n">
        <x:f>'Functional_Panel'!M6</x:f>
        <x:v>2.82868590209209</x:v>
      </x:c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</x:row>
    <x:row r="17">
      <x:c r="A17" s="32" t="str">
        <x:v>Elongation factor 1-alpha</x:v>
      </x:c>
      <x:c r="B17" s="32" t="str">
        <x:v>Housekeeping</x:v>
      </x:c>
      <x:c r="C17" s="37" t="n">
        <x:f>'Functional_Panel'!M7</x:f>
        <x:v>2.93241133433264</x:v>
      </x:c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</x:row>
    <x:row r="18">
      <x:c r="A18" s="32" t="str">
        <x:v>GAPDH</x:v>
      </x:c>
      <x:c r="B18" s="32" t="str">
        <x:v>Housekeeping</x:v>
      </x:c>
      <x:c r="C18" s="37" t="n">
        <x:f>'Functional_Panel'!M8</x:f>
        <x:v>2.31426949041774</x:v>
      </x:c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</x:row>
    <x:row r="19">
      <x:c r="A19" s="32" t="str">
        <x:v>ATP synthase</x:v>
      </x:c>
      <x:c r="B19" s="32" t="str">
        <x:v>Energy</x:v>
      </x:c>
      <x:c r="C19" s="37" t="n">
        <x:f>'Functional_Panel'!M9</x:f>
        <x:v>2.49749541291203</x:v>
      </x:c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</x:row>
    <x:row r="20">
      <x:c r="A20" s="32" t="str">
        <x:v>Trypsin</x:v>
      </x:c>
      <x:c r="B20" s="32" t="str">
        <x:v>Digestion</x:v>
      </x:c>
      <x:c r="C20" s="37" t="n">
        <x:f>'Functional_Panel'!M10</x:f>
        <x:v>4.12405721648813</x:v>
      </x:c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</x:row>
    <x:row r="21">
      <x:c r="A21" s="32" t="str">
        <x:v>Chymotrypsin</x:v>
      </x:c>
      <x:c r="B21" s="32" t="str">
        <x:v>Digestion</x:v>
      </x:c>
      <x:c r="C21" s="37" t="n">
        <x:f>'Functional_Panel'!M11</x:f>
        <x:v>3.74274258358433</x:v>
      </x:c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</x:row>
    <x:row r="22">
      <x:c r="A22" s="32" t="str">
        <x:v>Aminopeptidase N</x:v>
      </x:c>
      <x:c r="B22" s="32" t="str">
        <x:v>Digestion</x:v>
      </x:c>
      <x:c r="C22" s="37" t="n">
        <x:f>'Functional_Panel'!M12</x:f>
        <x:v>2.03624680764801</x:v>
      </x:c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</x:row>
    <x:row r="23">
      <x:c r="A23" s="32" t="str">
        <x:v>Carboxypeptidase</x:v>
      </x:c>
      <x:c r="B23" s="32" t="str">
        <x:v>Digestion</x:v>
      </x:c>
      <x:c r="C23" s="37" t="n">
        <x:f>'Functional_Panel'!M13</x:f>
        <x:v>3.16946934061052</x:v>
      </x:c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</x:row>
    <x:row r="24">
      <x:c r="A24" s="32" t="str">
        <x:v>Alpha-amylase</x:v>
      </x:c>
      <x:c r="B24" s="32" t="str">
        <x:v>Digestion</x:v>
      </x:c>
      <x:c r="C24" s="37" t="n">
        <x:f>'Functional_Panel'!M14</x:f>
        <x:v>3.17437248534063</x:v>
      </x:c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</x:row>
    <x:row r="25">
      <x:c r="A25" s="32" t="str">
        <x:v>Digestive lipase</x:v>
      </x:c>
      <x:c r="B25" s="32" t="str">
        <x:v>Digestion</x:v>
      </x:c>
      <x:c r="C25" s="37" t="n">
        <x:f>'Functional_Panel'!M15</x:f>
        <x:v>3.78887720076055</x:v>
      </x:c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</x:row>
    <x:row r="26">
      <x:c r="A26" s="32" t="str">
        <x:v>Lysozyme</x:v>
      </x:c>
      <x:c r="B26" s="32" t="str">
        <x:v>Immunity</x:v>
      </x:c>
      <x:c r="C26" s="37" t="n">
        <x:f>'Functional_Panel'!M16</x:f>
        <x:v>1.96058061604624</x:v>
      </x:c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</x:row>
    <x:row r="27">
      <x:c r="A27" s="32" t="str">
        <x:v>PGRP</x:v>
      </x:c>
      <x:c r="B27" s="32" t="str">
        <x:v>Immunity</x:v>
      </x:c>
      <x:c r="C27" s="37" t="n">
        <x:f>'Functional_Panel'!M17</x:f>
        <x:v>3.17747940968296</x:v>
      </x:c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</x:row>
    <x:row r="28">
      <x:c r="A28" s="32" t="str">
        <x:v>Juvenile hormone-binding protein</x:v>
      </x:c>
      <x:c r="B28" s="32" t="str">
        <x:v>Development</x:v>
      </x:c>
      <x:c r="C28" s="37" t="n">
        <x:f>'Functional_Panel'!M18</x:f>
        <x:v>0.814229311016448</x:v>
      </x:c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</x:row>
    <x:row r="29">
      <x:c r="A29" s="32" t="str">
        <x:v>Juvenile hormone esterase</x:v>
      </x:c>
      <x:c r="B29" s="32" t="str">
        <x:v>Development</x:v>
      </x:c>
      <x:c r="C29" s="37" t="n">
        <x:f>'Functional_Panel'!M19</x:f>
        <x:v>2.32110217563695</x:v>
      </x:c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</x:row>
    <x:row r="30">
      <x:c r="A30" s="32" t="str">
        <x:v>Broad-complex</x:v>
      </x:c>
      <x:c r="B30" s="32" t="str">
        <x:v>Development</x:v>
      </x:c>
      <x:c r="C30" s="37" t="n">
        <x:f>'Functional_Panel'!M20</x:f>
        <x:v>0.941027020298779</x:v>
      </x:c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</x:row>
    <x:row r="31">
      <x:c r="A31" s="32" t="str">
        <x:v>CarE family mean</x:v>
      </x:c>
      <x:c r="B31" s="32" t="str">
        <x:v>Phase I–III detox</x:v>
      </x:c>
      <x:c r="C31" s="37" t="n">
        <x:f>LOG10(C6+1)</x:f>
        <x:v>2.02525950444925</x:v>
      </x:c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</x:row>
    <x:row r="32">
      <x:c r="A32" s="32" t="str">
        <x:v>GST family mean</x:v>
      </x:c>
      <x:c r="B32" s="32" t="str">
        <x:v>Phase I–III detox</x:v>
      </x:c>
      <x:c r="C32" s="37" t="n">
        <x:f>LOG10(C7+1)</x:f>
        <x:v>1.7725787081172</x:v>
      </x:c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</x:row>
    <x:row r="33">
      <x:c r="A33" s="32" t="str">
        <x:v>UGT family mean</x:v>
      </x:c>
      <x:c r="B33" s="32" t="str">
        <x:v>Phase I–III detox</x:v>
      </x:c>
      <x:c r="C33" s="37" t="n">
        <x:f>LOG10(C8+1)</x:f>
        <x:v>1.09265016761819</x:v>
      </x:c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</x:row>
    <x:row r="34">
      <x:c r="A34" s="32" t="str">
        <x:v>SULT family mean</x:v>
      </x:c>
      <x:c r="B34" s="32" t="str">
        <x:v>Phase I–III detox</x:v>
      </x:c>
      <x:c r="C34" s="37" t="n">
        <x:f>LOG10(C9+1)</x:f>
        <x:v>1.89041362018307</x:v>
      </x:c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</x:row>
    <x:row r="35">
      <x:c r="A35" s="32" t="str">
        <x:v>ABC family mean</x:v>
      </x:c>
      <x:c r="B35" s="32" t="str">
        <x:v>Phase I–III detox</x:v>
      </x:c>
      <x:c r="C35" s="37" t="n">
        <x:f>LOG10(C10+1)</x:f>
        <x:v>0.738171441577493</x:v>
      </x:c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</x:row>
  </x:sheetData>
  <x:mergeCells>
    <x:mergeCell ref="A1:N1"/>
    <x:mergeCell ref="A3:N3"/>
  </x:mergeCells>
  <x:pageMargins left="0.7" right="0.7" top="0.75" bottom="0.75" header="0.3" footer="0.3"/>
  <x:drawing xmlns:r="http://schemas.openxmlformats.org/officeDocument/2006/relationships" r:id="Rf22407ed95ba4bc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.380001068115234" hidden="0" customWidth="1"/>
    <x:col min="2" max="2" width="32" hidden="0" customWidth="1"/>
    <x:col min="3" max="3" width="21.75" hidden="0" customWidth="1"/>
    <x:col min="4" max="4" width="7.75" hidden="0" customWidth="1"/>
    <x:col min="5" max="5" width="7.75" hidden="0" customWidth="1"/>
    <x:col min="6" max="6" width="7.75" hidden="0" customWidth="1"/>
    <x:col min="7" max="7" width="7.75" hidden="0" customWidth="1"/>
    <x:col min="8" max="8" width="7.75" hidden="0" customWidth="1"/>
    <x:col min="9" max="9" width="7.75" hidden="0" customWidth="1"/>
    <x:col min="10" max="10" width="8.380000114440918" hidden="0" customWidth="1"/>
    <x:col min="11" max="11" width="8.380000114440918" hidden="0" customWidth="1"/>
    <x:col min="12" max="12" width="8.880000114440918" hidden="0" customWidth="1"/>
    <x:col min="13" max="13" width="11.25" hidden="0" customWidth="1"/>
    <x:col min="14" max="14" width="3.880000114440918" hidden="0" customWidth="1"/>
    <x:col min="15" max="15" width="21.1299991607666" hidden="0" customWidth="1"/>
    <x:col min="16" max="16" width="8.25" hidden="0" customWidth="1"/>
    <x:col min="17" max="17" width="14.25" hidden="0" customWidth="1"/>
    <x:col min="18" max="18" width="8" hidden="0" customWidth="1"/>
    <x:col min="19" max="19" width="72" hidden="0" customWidth="1"/>
  </x:cols>
  <x:sheetData>
    <x:row r="1" ht="30" customHeight="1">
      <x:c r="A1" s="31" t="str">
        <x:v>P. hoenei functional reference panel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  <x:c r="S2" s="32"/>
    </x:row>
    <x:row r="3">
      <x:c r="A3" s="38" t="str">
        <x:v>Group</x:v>
      </x:c>
      <x:c r="B3" s="39" t="str">
        <x:v>Marker</x:v>
      </x:c>
      <x:c r="C3" s="39" t="str">
        <x:v>TranscriptID</x:v>
      </x:c>
      <x:c r="D3" s="39" t="str">
        <x:v>Dan_mg1</x:v>
      </x:c>
      <x:c r="E3" s="39" t="str">
        <x:v>Dan_mg2</x:v>
      </x:c>
      <x:c r="F3" s="39" t="str">
        <x:v>Dan_mg3</x:v>
      </x:c>
      <x:c r="G3" s="39" t="str">
        <x:v>Mul_mg1</x:v>
      </x:c>
      <x:c r="H3" s="39" t="str">
        <x:v>Mul_mg2</x:v>
      </x:c>
      <x:c r="I3" s="39" t="str">
        <x:v>Mul_mg3</x:v>
      </x:c>
      <x:c r="J3" s="39" t="str">
        <x:v>Dan mean</x:v>
      </x:c>
      <x:c r="K3" s="39" t="str">
        <x:v>Mul mean</x:v>
      </x:c>
      <x:c r="L3" s="39" t="str">
        <x:v>Mean TPM</x:v>
      </x:c>
      <x:c r="M3" s="39" t="str">
        <x:v>log10(TPM+1)</x:v>
      </x:c>
      <x:c r="N3" s="39" t="str">
        <x:v>CV</x:v>
      </x:c>
      <x:c r="O3" s="39" t="str">
        <x:v>Swiss-Prot ID</x:v>
      </x:c>
      <x:c r="P3" s="39" t="str">
        <x:v>Identity %</x:v>
      </x:c>
      <x:c r="Q3" s="39" t="str">
        <x:v>Query coverage %</x:v>
      </x:c>
      <x:c r="R3" s="39" t="str">
        <x:v>E-value</x:v>
      </x:c>
      <x:c r="S3" s="39" t="str">
        <x:v>Annotation</x:v>
      </x:c>
    </x:row>
    <x:row r="4">
      <x:c r="A4" s="40" t="str">
        <x:v>Housekeeping</x:v>
      </x:c>
      <x:c r="B4" s="41" t="str">
        <x:v>Ribosomal protein eL32 (RP49-like)</x:v>
      </x:c>
      <x:c r="C4" s="41" t="str">
        <x:v>TRINITY_DN59317_c0_g1_i1</x:v>
      </x:c>
      <x:c r="D4" s="42" t="n">
        <x:v>416.201325</x:v>
      </x:c>
      <x:c r="E4" s="42" t="n">
        <x:v>740.428164</x:v>
      </x:c>
      <x:c r="F4" s="42" t="n">
        <x:v>429.983988</x:v>
      </x:c>
      <x:c r="G4" s="42" t="n">
        <x:v>828.473098</x:v>
      </x:c>
      <x:c r="H4" s="42" t="n">
        <x:v>795.882182</x:v>
      </x:c>
      <x:c r="I4" s="42" t="n">
        <x:v>745.721111</x:v>
      </x:c>
      <x:c r="J4" s="42" t="n">
        <x:f>AVERAGE(D4:F4)</x:f>
        <x:v>528.8711589999999</x:v>
      </x:c>
      <x:c r="K4" s="42" t="n">
        <x:f>AVERAGE(G4:I4)</x:f>
        <x:v>790.0254636666667</x:v>
      </x:c>
      <x:c r="L4" s="42" t="n">
        <x:f>AVERAGE(D4:I4)</x:f>
        <x:v>659.4483113333332</x:v>
      </x:c>
      <x:c r="M4" s="42" t="n">
        <x:f>LOG10(L4+1)</x:f>
        <x:v>2.81983883409117</x:v>
      </x:c>
      <x:c r="N4" s="42" t="n">
        <x:v>0.2820761917263009</x:v>
      </x:c>
      <x:c r="O4" s="41" t="str">
        <x:v>sp|Q962T1|RL32_SPOFR</x:v>
      </x:c>
      <x:c r="P4" s="43" t="n">
        <x:v>99.3</x:v>
      </x:c>
      <x:c r="Q4" s="43" t="n">
        <x:v>99.25925925925925</x:v>
      </x:c>
      <x:c r="R4" s="41" t="n">
        <x:v>1.13e-89</x:v>
      </x:c>
      <x:c r="S4" s="41" t="str">
        <x:v>sp|Q962T1|RL32_SPOFR Large ribosomal subunit protein eL32 OS=Spodoptera frugiperda OX=7108 GN=RpL32 PE=2 SV=1</x:v>
      </x:c>
    </x:row>
    <x:row r="5">
      <x:c r="A5" s="40" t="str">
        <x:v>Housekeeping</x:v>
      </x:c>
      <x:c r="B5" s="41" t="str">
        <x:v>Actin</x:v>
      </x:c>
      <x:c r="C5" s="41" t="str">
        <x:v>TRINITY_DN3270_c0_g1_i4</x:v>
      </x:c>
      <x:c r="D5" s="42" t="n">
        <x:v>739.075956</x:v>
      </x:c>
      <x:c r="E5" s="42" t="n">
        <x:v>1254.657135</x:v>
      </x:c>
      <x:c r="F5" s="42" t="n">
        <x:v>448.350822</x:v>
      </x:c>
      <x:c r="G5" s="42" t="n">
        <x:v>1034.376924</x:v>
      </x:c>
      <x:c r="H5" s="42" t="n">
        <x:v>1233.376227</x:v>
      </x:c>
      <x:c r="I5" s="42" t="n">
        <x:v>1235.455101</x:v>
      </x:c>
      <x:c r="J5" s="42" t="n">
        <x:f>AVERAGE(D5:F5)</x:f>
        <x:v>814.027971</x:v>
      </x:c>
      <x:c r="K5" s="42" t="n">
        <x:f>AVERAGE(G5:I5)</x:f>
        <x:v>1167.736084</x:v>
      </x:c>
      <x:c r="L5" s="42" t="n">
        <x:f>AVERAGE(D5:I5)</x:f>
        <x:v>990.8820274999998</x:v>
      </x:c>
      <x:c r="M5" s="42" t="n">
        <x:f>LOG10(L5+1)</x:f>
        <x:v>2.99646002109316</x:v>
      </x:c>
      <x:c r="N5" s="42" t="n">
        <x:v>0.3340549505617429</x:v>
      </x:c>
      <x:c r="O5" s="41" t="str">
        <x:v>sp|Q25010|ACT3A_HELAM</x:v>
      </x:c>
      <x:c r="P5" s="43" t="n">
        <x:v>100</x:v>
      </x:c>
      <x:c r="Q5" s="43" t="n">
        <x:v>99.73474801061008</x:v>
      </x:c>
      <x:c r="R5" s="41" t="n">
        <x:v>3.05e-280</x:v>
      </x:c>
      <x:c r="S5" s="41" t="str">
        <x:v>sp|Q25010|ACT3A_HELAM Actin, cytoplasmic A3a OS=Helicoverpa armigera OX=29058 GN=actA3a PE=2 SV=1</x:v>
      </x:c>
    </x:row>
    <x:row r="6">
      <x:c r="A6" s="40" t="str">
        <x:v>Housekeeping</x:v>
      </x:c>
      <x:c r="B6" s="41" t="str">
        <x:v>Alpha/Beta tubulin</x:v>
      </x:c>
      <x:c r="C6" s="41" t="str">
        <x:v>TRINITY_DN34_c1_g1_i4</x:v>
      </x:c>
      <x:c r="D6" s="42" t="n">
        <x:v>646.630881</x:v>
      </x:c>
      <x:c r="E6" s="42" t="n">
        <x:v>800.00782</x:v>
      </x:c>
      <x:c r="F6" s="42" t="n">
        <x:v>238.247554</x:v>
      </x:c>
      <x:c r="G6" s="42" t="n">
        <x:v>864.579853</x:v>
      </x:c>
      <x:c r="H6" s="42" t="n">
        <x:v>812.019613</x:v>
      </x:c>
      <x:c r="I6" s="42" t="n">
        <x:v>676.756441</x:v>
      </x:c>
      <x:c r="J6" s="42" t="n">
        <x:f>AVERAGE(D6:F6)</x:f>
        <x:v>561.6287516666667</x:v>
      </x:c>
      <x:c r="K6" s="42" t="n">
        <x:f>AVERAGE(G6:I6)</x:f>
        <x:v>784.4519690000001</x:v>
      </x:c>
      <x:c r="L6" s="42" t="n">
        <x:f>AVERAGE(D6:I6)</x:f>
        <x:v>673.0403603333333</x:v>
      </x:c>
      <x:c r="M6" s="42" t="n">
        <x:f>LOG10(L6+1)</x:f>
        <x:v>2.82868590209209</x:v>
      </x:c>
      <x:c r="N6" s="42" t="n">
        <x:v>0.34003573326032177</x:v>
      </x:c>
      <x:c r="O6" s="41" t="str">
        <x:v>sp|P52273|TBA_BOMMO</x:v>
      </x:c>
      <x:c r="P6" s="43" t="n">
        <x:v>99.3</x:v>
      </x:c>
      <x:c r="Q6" s="43" t="n">
        <x:v>99.77827050997783</x:v>
      </x:c>
      <x:c r="R6" s="41" t="n">
        <x:v>0</x:v>
      </x:c>
      <x:c r="S6" s="41" t="str">
        <x:v>sp|P52273|TBA_BOMMO Tubulin alpha chain OS=Bombyx mori OX=7091 PE=2 SV=1</x:v>
      </x:c>
    </x:row>
    <x:row r="7">
      <x:c r="A7" s="40" t="str">
        <x:v>Housekeeping</x:v>
      </x:c>
      <x:c r="B7" s="41" t="str">
        <x:v>Elongation factor 1-alpha</x:v>
      </x:c>
      <x:c r="C7" s="41" t="str">
        <x:v>TRINITY_DN3455_c0_g1_i1</x:v>
      </x:c>
      <x:c r="D7" s="42" t="n">
        <x:v>487.797652</x:v>
      </x:c>
      <x:c r="E7" s="42" t="n">
        <x:v>894.151762</x:v>
      </x:c>
      <x:c r="F7" s="42" t="n">
        <x:v>599.604903</x:v>
      </x:c>
      <x:c r="G7" s="42" t="n">
        <x:v>1184.150947</x:v>
      </x:c>
      <x:c r="H7" s="42" t="n">
        <x:v>1085.675549</x:v>
      </x:c>
      <x:c r="I7" s="42" t="n">
        <x:v>877.880934</x:v>
      </x:c>
      <x:c r="J7" s="42" t="n">
        <x:f>AVERAGE(D7:F7)</x:f>
        <x:v>660.5181056666667</x:v>
      </x:c>
      <x:c r="K7" s="42" t="n">
        <x:f>AVERAGE(G7:I7)</x:f>
        <x:v>1049.2358100000001</x:v>
      </x:c>
      <x:c r="L7" s="42" t="n">
        <x:f>AVERAGE(D7:I7)</x:f>
        <x:v>854.8769578333332</x:v>
      </x:c>
      <x:c r="M7" s="42" t="n">
        <x:f>LOG10(L7+1)</x:f>
        <x:v>2.93241133433264</x:v>
      </x:c>
      <x:c r="N7" s="42" t="n">
        <x:v>0.31547603048747813</x:v>
      </x:c>
      <x:c r="O7" s="41" t="str">
        <x:v>sp|P29520|EF1A_BOMMO</x:v>
      </x:c>
      <x:c r="P7" s="43" t="n">
        <x:v>98.1</x:v>
      </x:c>
      <x:c r="Q7" s="43" t="n">
        <x:v>99.78448275862068</x:v>
      </x:c>
      <x:c r="R7" s="41" t="n">
        <x:v>0</x:v>
      </x:c>
      <x:c r="S7" s="41" t="str">
        <x:v>sp|P29520|EF1A_BOMMO Elongation factor 1-alpha OS=Bombyx mori OX=7091 PE=2 SV=1</x:v>
      </x:c>
    </x:row>
    <x:row r="8">
      <x:c r="A8" s="40" t="str">
        <x:v>Housekeeping</x:v>
      </x:c>
      <x:c r="B8" s="41" t="str">
        <x:v>GAPDH</x:v>
      </x:c>
      <x:c r="C8" s="41" t="str">
        <x:v>TRINITY_DN4438_c0_g2_i1</x:v>
      </x:c>
      <x:c r="D8" s="42" t="n">
        <x:v>166.465532</x:v>
      </x:c>
      <x:c r="E8" s="42" t="n">
        <x:v>249.8997</x:v>
      </x:c>
      <x:c r="F8" s="42" t="n">
        <x:v>98.938342</x:v>
      </x:c>
      <x:c r="G8" s="42" t="n">
        <x:v>250.606022</x:v>
      </x:c>
      <x:c r="H8" s="42" t="n">
        <x:v>242.519512</x:v>
      </x:c>
      <x:c r="I8" s="42" t="n">
        <x:v>222.716281</x:v>
      </x:c>
      <x:c r="J8" s="42" t="n">
        <x:f>AVERAGE(D8:F8)</x:f>
        <x:v>171.76785800000002</x:v>
      </x:c>
      <x:c r="K8" s="42" t="n">
        <x:f>AVERAGE(G8:I8)</x:f>
        <x:v>238.61393833333332</x:v>
      </x:c>
      <x:c r="L8" s="42" t="n">
        <x:f>AVERAGE(D8:I8)</x:f>
        <x:v>205.19089816666667</x:v>
      </x:c>
      <x:c r="M8" s="42" t="n">
        <x:f>LOG10(L8+1)</x:f>
        <x:v>2.31426949041774</x:v>
      </x:c>
      <x:c r="N8" s="42" t="n">
        <x:v>0.29685427919619095</x:v>
      </x:c>
      <x:c r="O8" s="41" t="str">
        <x:v>sp|P07487|G3P2_DROME</x:v>
      </x:c>
      <x:c r="P8" s="43" t="n">
        <x:v>84.9</x:v>
      </x:c>
      <x:c r="Q8" s="43" t="n">
        <x:v>99.69969969969969</x:v>
      </x:c>
      <x:c r="R8" s="41" t="n">
        <x:v>4.77e-207</x:v>
      </x:c>
      <x:c r="S8" s="41" t="str">
        <x:v>sp|P07487|G3P2_DROME Glyceraldehyde-3-phosphate dehydrogenase 2 OS=Drosophila melanogaster OX=7227 GN=Gapdh2 PE=1 SV=2</x:v>
      </x:c>
    </x:row>
    <x:row r="9">
      <x:c r="A9" s="40" t="str">
        <x:v>Energy</x:v>
      </x:c>
      <x:c r="B9" s="41" t="str">
        <x:v>ATP synthase</x:v>
      </x:c>
      <x:c r="C9" s="41" t="str">
        <x:v>TRINITY_DN6596_c0_g1_i2</x:v>
      </x:c>
      <x:c r="D9" s="42" t="n">
        <x:v>279.562941</x:v>
      </x:c>
      <x:c r="E9" s="42" t="n">
        <x:v>368.55214</x:v>
      </x:c>
      <x:c r="F9" s="42" t="n">
        <x:v>169.329134</x:v>
      </x:c>
      <x:c r="G9" s="42" t="n">
        <x:v>293.794257</x:v>
      </x:c>
      <x:c r="H9" s="42" t="n">
        <x:v>370.283834</x:v>
      </x:c>
      <x:c r="I9" s="42" t="n">
        <x:v>398.933621</x:v>
      </x:c>
      <x:c r="J9" s="42" t="n">
        <x:f>AVERAGE(D9:F9)</x:f>
        <x:v>272.481405</x:v>
      </x:c>
      <x:c r="K9" s="42" t="n">
        <x:f>AVERAGE(G9:I9)</x:f>
        <x:v>354.33723733333335</x:v>
      </x:c>
      <x:c r="L9" s="42" t="n">
        <x:f>AVERAGE(D9:I9)</x:f>
        <x:v>313.40932116666664</x:v>
      </x:c>
      <x:c r="M9" s="42" t="n">
        <x:f>LOG10(L9+1)</x:f>
        <x:v>2.49749541291203</x:v>
      </x:c>
      <x:c r="N9" s="42" t="n">
        <x:v>0.2702868512332325</x:v>
      </x:c>
      <x:c r="O9" s="41" t="str">
        <x:v>sp|Q9W141|ATPK_DROME</x:v>
      </x:c>
      <x:c r="P9" s="43" t="n">
        <x:v>77.6</x:v>
      </x:c>
      <x:c r="Q9" s="43" t="n">
        <x:v>99.07407407407408</x:v>
      </x:c>
      <x:c r="R9" s="41" t="n">
        <x:v>3.09e-63</x:v>
      </x:c>
      <x:c r="S9" s="41" t="str">
        <x:v>sp|Q9W141|ATPK_DROME Putative ATP synthase subunit f, mitochondrial OS=Drosophila melanogaster OX=7227 GN=ATPsynF PE=3 SV=1</x:v>
      </x:c>
    </x:row>
    <x:row r="10">
      <x:c r="A10" s="40" t="str">
        <x:v>Digestion</x:v>
      </x:c>
      <x:c r="B10" s="41" t="str">
        <x:v>Trypsin</x:v>
      </x:c>
      <x:c r="C10" s="41" t="str">
        <x:v>TRINITY_DN2_c0_g1_i6</x:v>
      </x:c>
      <x:c r="D10" s="42" t="n">
        <x:v>11028.525254</x:v>
      </x:c>
      <x:c r="E10" s="42" t="n">
        <x:v>18542.212691</x:v>
      </x:c>
      <x:c r="F10" s="42" t="n">
        <x:v>14648.429174</x:v>
      </x:c>
      <x:c r="G10" s="42" t="n">
        <x:v>10515.841086</x:v>
      </x:c>
      <x:c r="H10" s="42" t="n">
        <x:v>10210.527926</x:v>
      </x:c>
      <x:c r="I10" s="42" t="n">
        <x:v>14886.24655</x:v>
      </x:c>
      <x:c r="J10" s="42" t="n">
        <x:f>AVERAGE(D10:F10)</x:f>
        <x:v>14739.722373000002</x:v>
      </x:c>
      <x:c r="K10" s="42" t="n">
        <x:f>AVERAGE(G10:I10)</x:f>
        <x:v>11870.871854000003</x:v>
      </x:c>
      <x:c r="L10" s="42" t="n">
        <x:f>AVERAGE(D10:I10)</x:f>
        <x:v>13305.297113500003</x:v>
      </x:c>
      <x:c r="M10" s="42" t="n">
        <x:f>LOG10(L10+1)</x:f>
        <x:v>4.12405721648813</x:v>
      </x:c>
      <x:c r="N10" s="42" t="n">
        <x:v>0.24761360139584213</x:v>
      </x:c>
      <x:c r="O10" s="41" t="str">
        <x:v>sp|P35042|TRYP_CHOFU</x:v>
      </x:c>
      <x:c r="P10" s="43" t="n">
        <x:v>66.7</x:v>
      </x:c>
      <x:c r="Q10" s="43" t="n">
        <x:v>100.78125</x:v>
      </x:c>
      <x:c r="R10" s="41" t="n">
        <x:v>2.28e-52</x:v>
      </x:c>
      <x:c r="S10" s="41" t="str">
        <x:v>sp|P35042|TRYP_CHOFU Trypsin CFT-1 OS=Choristoneura fumiferana OX=7141 PE=1 SV=1</x:v>
      </x:c>
    </x:row>
    <x:row r="11">
      <x:c r="A11" s="40" t="str">
        <x:v>Digestion</x:v>
      </x:c>
      <x:c r="B11" s="41" t="str">
        <x:v>Chymotrypsin</x:v>
      </x:c>
      <x:c r="C11" s="41" t="str">
        <x:v>TRINITY_DN233_c0_g1_i3</x:v>
      </x:c>
      <x:c r="D11" s="42" t="n">
        <x:v>3862.189619</x:v>
      </x:c>
      <x:c r="E11" s="42" t="n">
        <x:v>8962.464097</x:v>
      </x:c>
      <x:c r="F11" s="42" t="n">
        <x:v>7750.042337</x:v>
      </x:c>
      <x:c r="G11" s="42" t="n">
        <x:v>2746.25537</x:v>
      </x:c>
      <x:c r="H11" s="42" t="n">
        <x:v>2784.089077</x:v>
      </x:c>
      <x:c r="I11" s="42" t="n">
        <x:v>7070.292877</x:v>
      </x:c>
      <x:c r="J11" s="42" t="n">
        <x:f>AVERAGE(D11:F11)</x:f>
        <x:v>6858.232017666666</x:v>
      </x:c>
      <x:c r="K11" s="42" t="n">
        <x:f>AVERAGE(G11:I11)</x:f>
        <x:v>4200.212441333333</x:v>
      </x:c>
      <x:c r="L11" s="42" t="n">
        <x:f>AVERAGE(D11:I11)</x:f>
        <x:v>5529.2222295</x:v>
      </x:c>
      <x:c r="M11" s="42" t="n">
        <x:f>LOG10(L11+1)</x:f>
        <x:v>3.74274258358433</x:v>
      </x:c>
      <x:c r="N11" s="42" t="n">
        <x:v>0.4930060764428591</x:v>
      </x:c>
      <x:c r="O11" s="41" t="str">
        <x:v>sp|Q91X79|CELA1_MOUSE</x:v>
      </x:c>
      <x:c r="P11" s="43" t="n">
        <x:v>38.7</x:v>
      </x:c>
      <x:c r="Q11" s="43" t="n">
        <x:v>52.44755244755245</x:v>
      </x:c>
      <x:c r="R11" s="41" t="n">
        <x:v>1.88e-8</x:v>
      </x:c>
      <x:c r="S11" s="41" t="str">
        <x:v>sp|Q91X79|CELA1_MOUSE Chymotrypsin-like elastase family member 1 OS=Mus musculus OX=10090 GN=Cela1 PE=1 SV=1</x:v>
      </x:c>
    </x:row>
    <x:row r="12">
      <x:c r="A12" s="40" t="str">
        <x:v>Digestion</x:v>
      </x:c>
      <x:c r="B12" s="41" t="str">
        <x:v>Aminopeptidase N</x:v>
      </x:c>
      <x:c r="C12" s="41" t="str">
        <x:v>TRINITY_DN4639_c0_g1_i8</x:v>
      </x:c>
      <x:c r="D12" s="42" t="n">
        <x:v>61.78938</x:v>
      </x:c>
      <x:c r="E12" s="42" t="n">
        <x:v>115.810615</x:v>
      </x:c>
      <x:c r="F12" s="42" t="n">
        <x:v>101.702387</x:v>
      </x:c>
      <x:c r="G12" s="42" t="n">
        <x:v>103.633947</x:v>
      </x:c>
      <x:c r="H12" s="42" t="n">
        <x:v>152.166094</x:v>
      </x:c>
      <x:c r="I12" s="42" t="n">
        <x:v>111.123503</x:v>
      </x:c>
      <x:c r="J12" s="42" t="n">
        <x:f>AVERAGE(D12:F12)</x:f>
        <x:v>93.10079400000001</x:v>
      </x:c>
      <x:c r="K12" s="42" t="n">
        <x:f>AVERAGE(G12:I12)</x:f>
        <x:v>122.30784799999999</x:v>
      </x:c>
      <x:c r="L12" s="42" t="n">
        <x:f>AVERAGE(D12:I12)</x:f>
        <x:v>107.70432100000001</x:v>
      </x:c>
      <x:c r="M12" s="42" t="n">
        <x:f>LOG10(L12+1)</x:f>
        <x:v>2.03624680764801</x:v>
      </x:c>
      <x:c r="N12" s="42" t="n">
        <x:v>0.2695764498446231</x:v>
      </x:c>
      <x:c r="O12" s="41" t="str">
        <x:v>sp|P91885|AMPN_MANSE</x:v>
      </x:c>
      <x:c r="P12" s="43" t="n">
        <x:v>67.2</x:v>
      </x:c>
      <x:c r="Q12" s="43" t="n">
        <x:v>99.89528795811518</x:v>
      </x:c>
      <x:c r="R12" s="41" t="n">
        <x:v>0</x:v>
      </x:c>
      <x:c r="S12" s="41" t="str">
        <x:v>sp|P91885|AMPN_MANSE Aminopeptidase N OS=Manduca sexta OX=7130 GN=APN2 PE=1 SV=2</x:v>
      </x:c>
    </x:row>
    <x:row r="13">
      <x:c r="A13" s="40" t="str">
        <x:v>Digestion</x:v>
      </x:c>
      <x:c r="B13" s="41" t="str">
        <x:v>Carboxypeptidase</x:v>
      </x:c>
      <x:c r="C13" s="41" t="str">
        <x:v>TRINITY_DN3079_c0_g1_i13</x:v>
      </x:c>
      <x:c r="D13" s="42" t="n">
        <x:v>1340.032311</x:v>
      </x:c>
      <x:c r="E13" s="42" t="n">
        <x:v>1680.054502</x:v>
      </x:c>
      <x:c r="F13" s="42" t="n">
        <x:v>560.319564</x:v>
      </x:c>
      <x:c r="G13" s="42" t="n">
        <x:v>1649.565242</x:v>
      </x:c>
      <x:c r="H13" s="42" t="n">
        <x:v>1971.760153</x:v>
      </x:c>
      <x:c r="I13" s="42" t="n">
        <x:v>1656.081347</x:v>
      </x:c>
      <x:c r="J13" s="42" t="n">
        <x:f>AVERAGE(D13:F13)</x:f>
        <x:v>1193.4687923333333</x:v>
      </x:c>
      <x:c r="K13" s="42" t="n">
        <x:f>AVERAGE(G13:I13)</x:f>
        <x:v>1759.1355806666668</x:v>
      </x:c>
      <x:c r="L13" s="42" t="n">
        <x:f>AVERAGE(D13:I13)</x:f>
        <x:v>1476.3021865</x:v>
      </x:c>
      <x:c r="M13" s="42" t="n">
        <x:f>LOG10(L13+1)</x:f>
        <x:v>3.16946934061052</x:v>
      </x:c>
      <x:c r="N13" s="42" t="n">
        <x:v>0.3327977600426903</x:v>
      </x:c>
      <x:c r="O13" s="41" t="str">
        <x:v>sp|Q3T905|CBPB_HELZE</x:v>
      </x:c>
      <x:c r="P13" s="43" t="n">
        <x:v>39.7</x:v>
      </x:c>
      <x:c r="Q13" s="43" t="n">
        <x:v>99.76415094339623</x:v>
      </x:c>
      <x:c r="R13" s="41" t="n">
        <x:v>1.48e-100</x:v>
      </x:c>
      <x:c r="S13" s="41" t="str">
        <x:v>sp|Q3T905|CBPB_HELZE Carboxypeptidase B OS=Helicoverpa zea OX=7113 GN=CPB PE=1 SV=1</x:v>
      </x:c>
    </x:row>
    <x:row r="14">
      <x:c r="A14" s="40" t="str">
        <x:v>Digestion</x:v>
      </x:c>
      <x:c r="B14" s="41" t="str">
        <x:v>Alpha-amylase</x:v>
      </x:c>
      <x:c r="C14" s="41" t="str">
        <x:v>TRINITY_DN246_c0_g1_i1</x:v>
      </x:c>
      <x:c r="D14" s="42" t="n">
        <x:v>1147.189666</x:v>
      </x:c>
      <x:c r="E14" s="42" t="n">
        <x:v>1705.426226</x:v>
      </x:c>
      <x:c r="F14" s="42" t="n">
        <x:v>1452.902074</x:v>
      </x:c>
      <x:c r="G14" s="42" t="n">
        <x:v>1641.514335</x:v>
      </x:c>
      <x:c r="H14" s="42" t="n">
        <x:v>1834.124007</x:v>
      </x:c>
      <x:c r="I14" s="42" t="n">
        <x:v>1177.295477</x:v>
      </x:c>
      <x:c r="J14" s="42" t="n">
        <x:f>AVERAGE(D14:F14)</x:f>
        <x:v>1435.172655333333</x:v>
      </x:c>
      <x:c r="K14" s="42" t="n">
        <x:f>AVERAGE(G14:I14)</x:f>
        <x:v>1550.9779396666665</x:v>
      </x:c>
      <x:c r="L14" s="42" t="n">
        <x:f>AVERAGE(D14:I14)</x:f>
        <x:v>1493.0752974999998</x:v>
      </x:c>
      <x:c r="M14" s="42" t="n">
        <x:f>LOG10(L14+1)</x:f>
        <x:v>3.17437248534063</x:v>
      </x:c>
      <x:c r="N14" s="42" t="n">
        <x:v>0.1904774908060919</x:v>
      </x:c>
      <x:c r="O14" s="41" t="str">
        <x:v>sp|Q23835|AMY1_DROAN</x:v>
      </x:c>
      <x:c r="P14" s="43" t="n">
        <x:v>64.9</x:v>
      </x:c>
      <x:c r="Q14" s="43" t="n">
        <x:v>99.40119760479043</x:v>
      </x:c>
      <x:c r="R14" s="41" t="n">
        <x:v>3.24e-239</x:v>
      </x:c>
      <x:c r="S14" s="41" t="str">
        <x:v>sp|Q23835|AMY1_DROAN Alpha-amylase 1 OS=Drosophila ananassae OX=7217 GN=Amy35 PE=3 SV=3</x:v>
      </x:c>
    </x:row>
    <x:row r="15">
      <x:c r="A15" s="40" t="str">
        <x:v>Digestion</x:v>
      </x:c>
      <x:c r="B15" s="41" t="str">
        <x:v>Digestive lipase</x:v>
      </x:c>
      <x:c r="C15" s="41" t="str">
        <x:v>TRINITY_DN167_c1_g1_i20</x:v>
      </x:c>
      <x:c r="D15" s="42" t="n">
        <x:v>4132.340143</x:v>
      </x:c>
      <x:c r="E15" s="42" t="n">
        <x:v>6347.989383</x:v>
      </x:c>
      <x:c r="F15" s="42" t="n">
        <x:v>7393.587239</x:v>
      </x:c>
      <x:c r="G15" s="42" t="n">
        <x:v>6700.924972</x:v>
      </x:c>
      <x:c r="H15" s="42" t="n">
        <x:v>4643.461044</x:v>
      </x:c>
      <x:c r="I15" s="42" t="n">
        <x:v>7675.874371</x:v>
      </x:c>
      <x:c r="J15" s="42" t="n">
        <x:f>AVERAGE(D15:F15)</x:f>
        <x:v>5957.972255000001</x:v>
      </x:c>
      <x:c r="K15" s="42" t="n">
        <x:f>AVERAGE(G15:I15)</x:f>
        <x:v>6340.086795666667</x:v>
      </x:c>
      <x:c r="L15" s="42" t="n">
        <x:f>AVERAGE(D15:I15)</x:f>
        <x:v>6149.029525333334</x:v>
      </x:c>
      <x:c r="M15" s="42" t="n">
        <x:f>LOG10(L15+1)</x:f>
        <x:v>3.78887720076055</x:v>
      </x:c>
      <x:c r="N15" s="42" t="n">
        <x:v>0.23632073217330662</x:v>
      </x:c>
      <x:c r="O15" s="41" t="str">
        <x:v>sp|P54317|LIPR2_HUMAN</x:v>
      </x:c>
      <x:c r="P15" s="43" t="n">
        <x:v>36.6</x:v>
      </x:c>
      <x:c r="Q15" s="43" t="n">
        <x:v>89.51965065502183</x:v>
      </x:c>
      <x:c r="R15" s="41" t="n">
        <x:v>1.52e-31</x:v>
      </x:c>
      <x:c r="S15" s="41" t="str">
        <x:v>sp|P54317|LIPR2_HUMAN Pancreatic lipase-related protein 2 OS=Homo sapiens OX=9606 GN=PNLIPRP2 PE=1 SV=2</x:v>
      </x:c>
    </x:row>
    <x:row r="16">
      <x:c r="A16" s="40" t="str">
        <x:v>Immunity</x:v>
      </x:c>
      <x:c r="B16" s="41" t="str">
        <x:v>Lysozyme</x:v>
      </x:c>
      <x:c r="C16" s="41" t="str">
        <x:v>TRINITY_DN1659_c0_g1_i10</x:v>
      </x:c>
      <x:c r="D16" s="42" t="n">
        <x:v>60.853485</x:v>
      </x:c>
      <x:c r="E16" s="42" t="n">
        <x:v>16.016061</x:v>
      </x:c>
      <x:c r="F16" s="42" t="n">
        <x:v>169.997173</x:v>
      </x:c>
      <x:c r="G16" s="42" t="n">
        <x:v>125.121747</x:v>
      </x:c>
      <x:c r="H16" s="42" t="n">
        <x:v>155.879597</x:v>
      </x:c>
      <x:c r="I16" s="42" t="n">
        <x:v>14.0705</x:v>
      </x:c>
      <x:c r="J16" s="42" t="n">
        <x:f>AVERAGE(D16:F16)</x:f>
        <x:v>82.28890633333333</x:v>
      </x:c>
      <x:c r="K16" s="42" t="n">
        <x:f>AVERAGE(G16:I16)</x:f>
        <x:v>98.35728133333333</x:v>
      </x:c>
      <x:c r="L16" s="42" t="n">
        <x:f>AVERAGE(D16:I16)</x:f>
        <x:v>90.32309383333335</x:v>
      </x:c>
      <x:c r="M16" s="42" t="n">
        <x:f>LOG10(L16+1)</x:f>
        <x:v>1.96058061604624</x:v>
      </x:c>
      <x:c r="N16" s="42" t="n">
        <x:v>0.7680210640464724</x:v>
      </x:c>
      <x:c r="O16" s="41" t="str">
        <x:v>sp|P50718|LYS_TRINI</x:v>
      </x:c>
      <x:c r="P16" s="43" t="n">
        <x:v>77.5</x:v>
      </x:c>
      <x:c r="Q16" s="43" t="n">
        <x:v>100</x:v>
      </x:c>
      <x:c r="R16" s="41" t="n">
        <x:v>1.38e-82</x:v>
      </x:c>
      <x:c r="S16" s="41" t="str">
        <x:v>sp|P50718|LYS_TRINI Lysozyme OS=Trichoplusia ni OX=7111 PE=2 SV=1</x:v>
      </x:c>
    </x:row>
    <x:row r="17">
      <x:c r="A17" s="40" t="str">
        <x:v>Immunity</x:v>
      </x:c>
      <x:c r="B17" s="41" t="str">
        <x:v>PGRP</x:v>
      </x:c>
      <x:c r="C17" s="41" t="str">
        <x:v>TRINITY_DN1492_c1_g1_i4</x:v>
      </x:c>
      <x:c r="D17" s="42" t="n">
        <x:v>2212.218255</x:v>
      </x:c>
      <x:c r="E17" s="42" t="n">
        <x:v>1463.600125</x:v>
      </x:c>
      <x:c r="F17" s="42" t="n">
        <x:v>3772.391577</x:v>
      </x:c>
      <x:c r="G17" s="42" t="n">
        <x:v>470.099446</x:v>
      </x:c>
      <x:c r="H17" s="42" t="n">
        <x:v>402.54845</x:v>
      </x:c>
      <x:c r="I17" s="42" t="n">
        <x:v>701.955185</x:v>
      </x:c>
      <x:c r="J17" s="42" t="n">
        <x:f>AVERAGE(D17:F17)</x:f>
        <x:v>2482.7366523333335</x:v>
      </x:c>
      <x:c r="K17" s="42" t="n">
        <x:f>AVERAGE(G17:I17)</x:f>
        <x:v>524.8676936666667</x:v>
      </x:c>
      <x:c r="L17" s="42" t="n">
        <x:f>AVERAGE(D17:I17)</x:f>
        <x:v>1503.802173</x:v>
      </x:c>
      <x:c r="M17" s="42" t="n">
        <x:f>LOG10(L17+1)</x:f>
        <x:v>3.17747940968296</x:v>
      </x:c>
      <x:c r="N17" s="42" t="n">
        <x:v>0.8708067389940877</x:v>
      </x:c>
      <x:c r="O17" s="41" t="str">
        <x:v>sp|Q8INK6|PGPLB_DROME</x:v>
      </x:c>
      <x:c r="P17" s="43" t="n">
        <x:v>54.3</x:v>
      </x:c>
      <x:c r="Q17" s="43" t="n">
        <x:v>81</x:v>
      </x:c>
      <x:c r="R17" s="41" t="n">
        <x:v>3.13e-62</x:v>
      </x:c>
      <x:c r="S17" s="41" t="str">
        <x:v>sp|Q8INK6|PGPLB_DROME Peptidoglycan-recognition protein LB OS=Drosophila melanogaster OX=7227 GN=PGRP-LB PE=1 SV=1</x:v>
      </x:c>
    </x:row>
    <x:row r="18">
      <x:c r="A18" s="40" t="str">
        <x:v>Development</x:v>
      </x:c>
      <x:c r="B18" s="41" t="str">
        <x:v>Juvenile hormone-binding protein</x:v>
      </x:c>
      <x:c r="C18" s="41" t="str">
        <x:v>TRINITY_DN4676_c0_g1_i1</x:v>
      </x:c>
      <x:c r="D18" s="42" t="n">
        <x:v>0.849663</x:v>
      </x:c>
      <x:c r="E18" s="42" t="n">
        <x:v>7.527084</x:v>
      </x:c>
      <x:c r="F18" s="42" t="n">
        <x:v>1.384214</x:v>
      </x:c>
      <x:c r="G18" s="42" t="n">
        <x:v>7.144264</x:v>
      </x:c>
      <x:c r="H18" s="42" t="n">
        <x:v>13.837873</x:v>
      </x:c>
      <x:c r="I18" s="42" t="n">
        <x:v>2.375255</x:v>
      </x:c>
      <x:c r="J18" s="42" t="n">
        <x:f>AVERAGE(D18:F18)</x:f>
        <x:v>3.2536536666666667</x:v>
      </x:c>
      <x:c r="K18" s="42" t="n">
        <x:f>AVERAGE(G18:I18)</x:f>
        <x:v>7.785797333333334</x:v>
      </x:c>
      <x:c r="L18" s="42" t="n">
        <x:f>AVERAGE(D18:I18)</x:f>
        <x:v>5.519725500000001</x:v>
      </x:c>
      <x:c r="M18" s="42" t="n">
        <x:f>LOG10(L18+1)</x:f>
        <x:v>0.814229311016448</x:v>
      </x:c>
      <x:c r="N18" s="42" t="n">
        <x:v>0.9046087288575357</x:v>
      </x:c>
      <x:c r="O18" s="41" t="str">
        <x:v>sp|P15500|JHBP_MANSE</x:v>
      </x:c>
      <x:c r="P18" s="43" t="n">
        <x:v>50.7</x:v>
      </x:c>
      <x:c r="Q18" s="43" t="n">
        <x:v>94.23868312757202</x:v>
      </x:c>
      <x:c r="R18" s="41" t="n">
        <x:v>3.19e-75</x:v>
      </x:c>
      <x:c r="S18" s="41" t="str">
        <x:v>sp|P15500|JHBP_MANSE Juvenile hormone-binding protein (Fragment) OS=Manduca sexta OX=7130 GN=JHBP PE=1 SV=2</x:v>
      </x:c>
    </x:row>
    <x:row r="19">
      <x:c r="A19" s="40" t="str">
        <x:v>Development</x:v>
      </x:c>
      <x:c r="B19" s="41" t="str">
        <x:v>Juvenile hormone esterase</x:v>
      </x:c>
      <x:c r="C19" s="41" t="str">
        <x:v>TRINITY_DN307_c1_g1_i2</x:v>
      </x:c>
      <x:c r="D19" s="42" t="n">
        <x:v>221.092009</x:v>
      </x:c>
      <x:c r="E19" s="42" t="n">
        <x:v>203.071116</x:v>
      </x:c>
      <x:c r="F19" s="42" t="n">
        <x:v>306.986508</x:v>
      </x:c>
      <x:c r="G19" s="42" t="n">
        <x:v>161.131515</x:v>
      </x:c>
      <x:c r="H19" s="42" t="n">
        <x:v>183.60941</x:v>
      </x:c>
      <x:c r="I19" s="42" t="n">
        <x:v>174.872557</x:v>
      </x:c>
      <x:c r="J19" s="42" t="n">
        <x:f>AVERAGE(D19:F19)</x:f>
        <x:v>243.71654433333333</x:v>
      </x:c>
      <x:c r="K19" s="42" t="n">
        <x:f>AVERAGE(G19:I19)</x:f>
        <x:v>173.20449399999998</x:v>
      </x:c>
      <x:c r="L19" s="42" t="n">
        <x:f>AVERAGE(D19:I19)</x:f>
        <x:v>208.46051916666667</x:v>
      </x:c>
      <x:c r="M19" s="42" t="n">
        <x:f>LOG10(L19+1)</x:f>
        <x:v>2.32110217563695</x:v>
      </x:c>
      <x:c r="N19" s="42" t="n">
        <x:v>0.2527627339413707</x:v>
      </x:c>
      <x:c r="O19" s="41" t="str">
        <x:v>sp|P12992|ESTJ_HELVI</x:v>
      </x:c>
      <x:c r="P19" s="43" t="n">
        <x:v>40.1</x:v>
      </x:c>
      <x:c r="Q19" s="43" t="n">
        <x:v>92.7536231884058</x:v>
      </x:c>
      <x:c r="R19" s="41" t="n">
        <x:v>2.35e-38</x:v>
      </x:c>
      <x:c r="S19" s="41" t="str">
        <x:v>sp|P12992|ESTJ_HELVI Juvenile hormone esterase OS=Heliothis virescens OX=7102 PE=1 SV=2</x:v>
      </x:c>
    </x:row>
    <x:row r="20">
      <x:c r="A20" s="44" t="str">
        <x:v>Development</x:v>
      </x:c>
      <x:c r="B20" s="45" t="str">
        <x:v>Broad-complex</x:v>
      </x:c>
      <x:c r="C20" s="45" t="str">
        <x:v>TRINITY_DN3993_c0_g1_i1</x:v>
      </x:c>
      <x:c r="D20" s="46" t="n">
        <x:v>6.100395</x:v>
      </x:c>
      <x:c r="E20" s="46" t="n">
        <x:v>8.909093</x:v>
      </x:c>
      <x:c r="F20" s="46" t="n">
        <x:v>8.390784</x:v>
      </x:c>
      <x:c r="G20" s="46" t="n">
        <x:v>7.908612</x:v>
      </x:c>
      <x:c r="H20" s="46" t="n">
        <x:v>6.840887</x:v>
      </x:c>
      <x:c r="I20" s="46" t="n">
        <x:v>8.23177</x:v>
      </x:c>
      <x:c r="J20" s="46" t="n">
        <x:f>AVERAGE(D20:F20)</x:f>
        <x:v>7.800090666666667</x:v>
      </x:c>
      <x:c r="K20" s="46" t="n">
        <x:f>AVERAGE(G20:I20)</x:f>
        <x:v>7.660422999999999</x:v>
      </x:c>
      <x:c r="L20" s="46" t="n">
        <x:f>AVERAGE(D20:I20)</x:f>
        <x:v>7.730256833333333</x:v>
      </x:c>
      <x:c r="M20" s="46" t="n">
        <x:f>LOG10(L20+1)</x:f>
        <x:v>0.941027020298779</x:v>
      </x:c>
      <x:c r="N20" s="46" t="n">
        <x:v>0.136373426121214</x:v>
      </x:c>
      <x:c r="O20" s="45" t="str">
        <x:v>sp|Q01295|BRC1_DROME</x:v>
      </x:c>
      <x:c r="P20" s="47" t="n">
        <x:v>54.3</x:v>
      </x:c>
      <x:c r="Q20" s="47" t="n">
        <x:v>36.024844720496894</x:v>
      </x:c>
      <x:c r="R20" s="45" t="n">
        <x:v>3.16e-35</x:v>
      </x:c>
      <x:c r="S20" s="45" t="str">
        <x:v>sp|Q01295|BRC1_DROME Broad-complex core protein isoforms 1/2/3/4/5 OS=Drosophila melanogaster OX=7227 GN=br PE=1 SV=2</x:v>
      </x:c>
    </x:row>
  </x:sheetData>
  <x:mergeCells>
    <x:mergeCell ref="A1:S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.880001068115234" hidden="0" customWidth="1"/>
    <x:col min="2" max="2" width="27.6299991607666" hidden="0" customWidth="1"/>
    <x:col min="3" max="3" width="13" hidden="0" customWidth="1"/>
    <x:col min="4" max="4" width="15" hidden="0" customWidth="1"/>
    <x:col min="5" max="5" width="5.630000114440918" hidden="0" customWidth="1"/>
    <x:col min="6" max="6" width="5.630000114440918" hidden="0" customWidth="1"/>
    <x:col min="7" max="7" width="8.25" hidden="0" customWidth="1"/>
    <x:col min="8" max="8" width="21.75" hidden="0" customWidth="1"/>
    <x:col min="9" max="9" width="20.6299991607666" hidden="0" customWidth="1"/>
    <x:col min="10" max="10" width="72" hidden="0" customWidth="1"/>
  </x:cols>
  <x:sheetData>
    <x:row r="1" ht="30" customHeight="1">
      <x:c r="A1" s="31" t="str">
        <x:v>Functional-family expression distributions</x:v>
      </x:c>
      <x:c r="B1" s="31"/>
      <x:c r="C1" s="31"/>
      <x:c r="D1" s="31"/>
      <x:c r="E1" s="31"/>
      <x:c r="F1" s="31"/>
      <x:c r="G1" s="31"/>
      <x:c r="H1" s="31"/>
      <x:c r="I1" s="31"/>
      <x:c r="J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</x:row>
    <x:row r="3">
      <x:c r="A3" s="34" t="str">
        <x:v>Group</x:v>
      </x:c>
      <x:c r="B3" s="35" t="str">
        <x:v>Marker</x:v>
      </x:c>
      <x:c r="C3" s="35" t="str">
        <x:v>Candidate count</x:v>
      </x:c>
      <x:c r="D3" s="35" t="str">
        <x:v>Median mean TPM</x:v>
      </x:c>
      <x:c r="E3" s="35" t="str">
        <x:v>P25</x:v>
      </x:c>
      <x:c r="F3" s="35" t="str">
        <x:v>P75</x:v>
      </x:c>
      <x:c r="G3" s="35" t="str">
        <x:v>Maximum</x:v>
      </x:c>
      <x:c r="H3" s="35" t="str">
        <x:v>Representative transcript</x:v>
      </x:c>
      <x:c r="I3" s="35" t="str">
        <x:v>Representative mean TPM</x:v>
      </x:c>
      <x:c r="J3" s="36" t="str">
        <x:v>Representative annotation</x:v>
      </x:c>
    </x:row>
    <x:row r="4">
      <x:c r="A4" s="32" t="str">
        <x:v>Housekeeping</x:v>
      </x:c>
      <x:c r="B4" s="32" t="str">
        <x:v>Ribosomal protein eL32 (RP49-like)</x:v>
      </x:c>
      <x:c r="C4" s="37" t="n">
        <x:v>1</x:v>
      </x:c>
      <x:c r="D4" s="37" t="n">
        <x:v>659.4483113333333</x:v>
      </x:c>
      <x:c r="E4" s="37" t="n">
        <x:v>659.4483113333333</x:v>
      </x:c>
      <x:c r="F4" s="37" t="n">
        <x:v>659.4483113333333</x:v>
      </x:c>
      <x:c r="G4" s="37" t="n">
        <x:v>659.4483113333333</x:v>
      </x:c>
      <x:c r="H4" s="37" t="str">
        <x:v>TRINITY_DN59317_c0_g1_i1</x:v>
      </x:c>
      <x:c r="I4" s="37" t="n">
        <x:v>659.4483113333333</x:v>
      </x:c>
      <x:c r="J4" s="32" t="str">
        <x:v>sp|Q962T1|RL32_SPOFR Large ribosomal subunit protein eL32 OS=Spodoptera frugiperda OX=7108 GN=RpL32 PE=2 SV=1</x:v>
      </x:c>
    </x:row>
    <x:row r="5">
      <x:c r="A5" s="32" t="str">
        <x:v>Housekeeping</x:v>
      </x:c>
      <x:c r="B5" s="32" t="str">
        <x:v>Actin</x:v>
      </x:c>
      <x:c r="C5" s="37" t="n">
        <x:v>120</x:v>
      </x:c>
      <x:c r="D5" s="37" t="n">
        <x:v>0.4504599166666666</x:v>
      </x:c>
      <x:c r="E5" s="37" t="n">
        <x:v>0.20618974999999998</x:v>
      </x:c>
      <x:c r="F5" s="37" t="n">
        <x:v>1.4612759166666667</x:v>
      </x:c>
      <x:c r="G5" s="37" t="n">
        <x:v>990.8820274999999</x:v>
      </x:c>
      <x:c r="H5" s="37" t="str">
        <x:v>TRINITY_DN3270_c0_g1_i4</x:v>
      </x:c>
      <x:c r="I5" s="37" t="n">
        <x:v>990.8820274999999</x:v>
      </x:c>
      <x:c r="J5" s="32" t="str">
        <x:v>sp|Q25010|ACT3A_HELAM Actin, cytoplasmic A3a OS=Helicoverpa armigera OX=29058 GN=actA3a PE=2 SV=1</x:v>
      </x:c>
    </x:row>
    <x:row r="6">
      <x:c r="A6" s="32" t="str">
        <x:v>Housekeeping</x:v>
      </x:c>
      <x:c r="B6" s="32" t="str">
        <x:v>Alpha/Beta tubulin</x:v>
      </x:c>
      <x:c r="C6" s="37" t="n">
        <x:v>28</x:v>
      </x:c>
      <x:c r="D6" s="37" t="n">
        <x:v>0.43257375</x:v>
      </x:c>
      <x:c r="E6" s="37" t="n">
        <x:v>0.18568354166666667</x:v>
      </x:c>
      <x:c r="F6" s="37" t="n">
        <x:v>2.9752896250000003</x:v>
      </x:c>
      <x:c r="G6" s="37" t="n">
        <x:v>673.0403603333333</x:v>
      </x:c>
      <x:c r="H6" s="37" t="str">
        <x:v>TRINITY_DN34_c1_g1_i4</x:v>
      </x:c>
      <x:c r="I6" s="37" t="n">
        <x:v>673.0403603333333</x:v>
      </x:c>
      <x:c r="J6" s="32" t="str">
        <x:v>sp|P52273|TBA_BOMMO Tubulin alpha chain OS=Bombyx mori OX=7091 PE=2 SV=1</x:v>
      </x:c>
    </x:row>
    <x:row r="7">
      <x:c r="A7" s="32" t="str">
        <x:v>Housekeeping</x:v>
      </x:c>
      <x:c r="B7" s="32" t="str">
        <x:v>Elongation factor 1-alpha</x:v>
      </x:c>
      <x:c r="C7" s="37" t="n">
        <x:v>4</x:v>
      </x:c>
      <x:c r="D7" s="37" t="n">
        <x:v>6.88203025</x:v>
      </x:c>
      <x:c r="E7" s="37" t="n">
        <x:v>1.6075271666666666</x:v>
      </x:c>
      <x:c r="F7" s="37" t="n">
        <x:v>222.46462883333336</x:v>
      </x:c>
      <x:c r="G7" s="37" t="n">
        <x:v>854.8769578333334</x:v>
      </x:c>
      <x:c r="H7" s="37" t="str">
        <x:v>TRINITY_DN3455_c0_g1_i1</x:v>
      </x:c>
      <x:c r="I7" s="37" t="n">
        <x:v>854.8769578333334</x:v>
      </x:c>
      <x:c r="J7" s="32" t="str">
        <x:v>sp|P29520|EF1A_BOMMO Elongation factor 1-alpha OS=Bombyx mori OX=7091 PE=2 SV=1</x:v>
      </x:c>
    </x:row>
    <x:row r="8">
      <x:c r="A8" s="32" t="str">
        <x:v>Housekeeping</x:v>
      </x:c>
      <x:c r="B8" s="32" t="str">
        <x:v>GAPDH</x:v>
      </x:c>
      <x:c r="C8" s="37" t="n">
        <x:v>2</x:v>
      </x:c>
      <x:c r="D8" s="37" t="n">
        <x:v>102.63457908333334</x:v>
      </x:c>
      <x:c r="E8" s="37" t="n">
        <x:v>51.35641954166667</x:v>
      </x:c>
      <x:c r="F8" s="37" t="n">
        <x:v>153.912738625</x:v>
      </x:c>
      <x:c r="G8" s="37" t="n">
        <x:v>205.19089816666667</x:v>
      </x:c>
      <x:c r="H8" s="37" t="str">
        <x:v>TRINITY_DN4438_c0_g2_i1</x:v>
      </x:c>
      <x:c r="I8" s="37" t="n">
        <x:v>205.19089816666667</x:v>
      </x:c>
      <x:c r="J8" s="32" t="str">
        <x:v>sp|P07487|G3P2_DROME Glyceraldehyde-3-phosphate dehydrogenase 2 OS=Drosophila melanogaster OX=7227 GN=Gapdh2 PE=1 SV=2</x:v>
      </x:c>
    </x:row>
    <x:row r="9">
      <x:c r="A9" s="32" t="str">
        <x:v>Energy</x:v>
      </x:c>
      <x:c r="B9" s="32" t="str">
        <x:v>ATP synthase</x:v>
      </x:c>
      <x:c r="C9" s="37" t="n">
        <x:v>18</x:v>
      </x:c>
      <x:c r="D9" s="37" t="n">
        <x:v>14.275095083333333</x:v>
      </x:c>
      <x:c r="E9" s="37" t="n">
        <x:v>1.331178625</x:v>
      </x:c>
      <x:c r="F9" s="37" t="n">
        <x:v>52.66159829166667</x:v>
      </x:c>
      <x:c r="G9" s="37" t="n">
        <x:v>313.40932116666664</x:v>
      </x:c>
      <x:c r="H9" s="37" t="str">
        <x:v>TRINITY_DN6596_c0_g1_i2</x:v>
      </x:c>
      <x:c r="I9" s="37" t="n">
        <x:v>313.40932116666664</x:v>
      </x:c>
      <x:c r="J9" s="32" t="str">
        <x:v>sp|Q9W141|ATPK_DROME Putative ATP synthase subunit f, mitochondrial OS=Drosophila melanogaster OX=7227 GN=ATPsynF PE=3 SV=1</x:v>
      </x:c>
    </x:row>
    <x:row r="10">
      <x:c r="A10" s="32" t="str">
        <x:v>Digestion</x:v>
      </x:c>
      <x:c r="B10" s="32" t="str">
        <x:v>Trypsin</x:v>
      </x:c>
      <x:c r="C10" s="37" t="n">
        <x:v>88</x:v>
      </x:c>
      <x:c r="D10" s="37" t="n">
        <x:v>13.543973</x:v>
      </x:c>
      <x:c r="E10" s="37" t="n">
        <x:v>1.40698275</x:v>
      </x:c>
      <x:c r="F10" s="37" t="n">
        <x:v>74.20401691666666</x:v>
      </x:c>
      <x:c r="G10" s="37" t="n">
        <x:v>13305.297113499999</x:v>
      </x:c>
      <x:c r="H10" s="37" t="str">
        <x:v>TRINITY_DN2_c0_g1_i6</x:v>
      </x:c>
      <x:c r="I10" s="37" t="n">
        <x:v>13305.297113499999</x:v>
      </x:c>
      <x:c r="J10" s="32" t="str">
        <x:v>sp|P35042|TRYP_CHOFU Trypsin CFT-1 OS=Choristoneura fumiferana OX=7141 PE=1 SV=1</x:v>
      </x:c>
    </x:row>
    <x:row r="11">
      <x:c r="A11" s="32" t="str">
        <x:v>Digestion</x:v>
      </x:c>
      <x:c r="B11" s="32" t="str">
        <x:v>Chymotrypsin</x:v>
      </x:c>
      <x:c r="C11" s="37" t="n">
        <x:v>74</x:v>
      </x:c>
      <x:c r="D11" s="37" t="n">
        <x:v>9.674055916666667</x:v>
      </x:c>
      <x:c r="E11" s="37" t="n">
        <x:v>0.4581175416666667</x:v>
      </x:c>
      <x:c r="F11" s="37" t="n">
        <x:v>64.00704604166667</x:v>
      </x:c>
      <x:c r="G11" s="37" t="n">
        <x:v>5529.2222295</x:v>
      </x:c>
      <x:c r="H11" s="37" t="str">
        <x:v>TRINITY_DN233_c0_g1_i3</x:v>
      </x:c>
      <x:c r="I11" s="37" t="n">
        <x:v>5529.2222295</x:v>
      </x:c>
      <x:c r="J11" s="32" t="str">
        <x:v>sp|Q91X79|CELA1_MOUSE Chymotrypsin-like elastase family member 1 OS=Mus musculus OX=10090 GN=Cela1 PE=1 SV=1</x:v>
      </x:c>
    </x:row>
    <x:row r="12">
      <x:c r="A12" s="32" t="str">
        <x:v>Digestion</x:v>
      </x:c>
      <x:c r="B12" s="32" t="str">
        <x:v>Aminopeptidase N</x:v>
      </x:c>
      <x:c r="C12" s="37" t="n">
        <x:v>21</x:v>
      </x:c>
      <x:c r="D12" s="37" t="n">
        <x:v>0.22844333333333333</x:v>
      </x:c>
      <x:c r="E12" s="37" t="n">
        <x:v>0.14294533333333334</x:v>
      </x:c>
      <x:c r="F12" s="37" t="n">
        <x:v>0.74179</x:v>
      </x:c>
      <x:c r="G12" s="37" t="n">
        <x:v>107.704321</x:v>
      </x:c>
      <x:c r="H12" s="37" t="str">
        <x:v>TRINITY_DN4639_c0_g1_i8</x:v>
      </x:c>
      <x:c r="I12" s="37" t="n">
        <x:v>107.704321</x:v>
      </x:c>
      <x:c r="J12" s="32" t="str">
        <x:v>sp|P91885|AMPN_MANSE Aminopeptidase N OS=Manduca sexta OX=7130 GN=APN2 PE=1 SV=2</x:v>
      </x:c>
    </x:row>
    <x:row r="13">
      <x:c r="A13" s="32" t="str">
        <x:v>Digestion</x:v>
      </x:c>
      <x:c r="B13" s="32" t="str">
        <x:v>Carboxypeptidase</x:v>
      </x:c>
      <x:c r="C13" s="37" t="n">
        <x:v>84</x:v>
      </x:c>
      <x:c r="D13" s="37" t="n">
        <x:v>0.8853100833333334</x:v>
      </x:c>
      <x:c r="E13" s="37" t="n">
        <x:v>0.17983733333333332</x:v>
      </x:c>
      <x:c r="F13" s="37" t="n">
        <x:v>19.254377666666667</x:v>
      </x:c>
      <x:c r="G13" s="37" t="n">
        <x:v>1476.3021865</x:v>
      </x:c>
      <x:c r="H13" s="37" t="str">
        <x:v>TRINITY_DN3079_c0_g1_i13</x:v>
      </x:c>
      <x:c r="I13" s="37" t="n">
        <x:v>1476.3021865</x:v>
      </x:c>
      <x:c r="J13" s="32" t="str">
        <x:v>sp|Q3T905|CBPB_HELZE Carboxypeptidase B OS=Helicoverpa zea OX=7113 GN=CPB PE=1 SV=1</x:v>
      </x:c>
    </x:row>
    <x:row r="14">
      <x:c r="A14" s="32" t="str">
        <x:v>Digestion</x:v>
      </x:c>
      <x:c r="B14" s="32" t="str">
        <x:v>Alpha-amylase</x:v>
      </x:c>
      <x:c r="C14" s="37" t="n">
        <x:v>8</x:v>
      </x:c>
      <x:c r="D14" s="37" t="n">
        <x:v>2.2670079999999997</x:v>
      </x:c>
      <x:c r="E14" s="37" t="n">
        <x:v>1.53344125</x:v>
      </x:c>
      <x:c r="F14" s="37" t="n">
        <x:v>62.42334916666667</x:v>
      </x:c>
      <x:c r="G14" s="37" t="n">
        <x:v>1493.0752974999998</x:v>
      </x:c>
      <x:c r="H14" s="37" t="str">
        <x:v>TRINITY_DN246_c0_g1_i1</x:v>
      </x:c>
      <x:c r="I14" s="37" t="n">
        <x:v>1493.0752974999998</x:v>
      </x:c>
      <x:c r="J14" s="32" t="str">
        <x:v>sp|Q23835|AMY1_DROAN Alpha-amylase 1 OS=Drosophila ananassae OX=7217 GN=Amy35 PE=3 SV=3</x:v>
      </x:c>
    </x:row>
    <x:row r="15">
      <x:c r="A15" s="32" t="str">
        <x:v>Digestion</x:v>
      </x:c>
      <x:c r="B15" s="32" t="str">
        <x:v>Digestive lipase</x:v>
      </x:c>
      <x:c r="C15" s="37" t="n">
        <x:v>69</x:v>
      </x:c>
      <x:c r="D15" s="37" t="n">
        <x:v>1.077361</x:v>
      </x:c>
      <x:c r="E15" s="37" t="n">
        <x:v>0.20114433333333334</x:v>
      </x:c>
      <x:c r="F15" s="37" t="n">
        <x:v>7.046492333333333</x:v>
      </x:c>
      <x:c r="G15" s="37" t="n">
        <x:v>6149.029525333334</x:v>
      </x:c>
      <x:c r="H15" s="37" t="str">
        <x:v>TRINITY_DN167_c1_g1_i20</x:v>
      </x:c>
      <x:c r="I15" s="37" t="n">
        <x:v>6149.029525333334</x:v>
      </x:c>
      <x:c r="J15" s="32" t="str">
        <x:v>sp|P54317|LIPR2_HUMAN Pancreatic lipase-related protein 2 OS=Homo sapiens OX=9606 GN=PNLIPRP2 PE=1 SV=2</x:v>
      </x:c>
    </x:row>
    <x:row r="16">
      <x:c r="A16" s="32" t="str">
        <x:v>Immunity</x:v>
      </x:c>
      <x:c r="B16" s="32" t="str">
        <x:v>Lysozyme</x:v>
      </x:c>
      <x:c r="C16" s="37" t="n">
        <x:v>13</x:v>
      </x:c>
      <x:c r="D16" s="37" t="n">
        <x:v>1.3957251666666668</x:v>
      </x:c>
      <x:c r="E16" s="37" t="n">
        <x:v>0.3677431666666667</x:v>
      </x:c>
      <x:c r="F16" s="37" t="n">
        <x:v>1.8703876666666666</x:v>
      </x:c>
      <x:c r="G16" s="37" t="n">
        <x:v>90.32309383333335</x:v>
      </x:c>
      <x:c r="H16" s="37" t="str">
        <x:v>TRINITY_DN1659_c0_g1_i10</x:v>
      </x:c>
      <x:c r="I16" s="37" t="n">
        <x:v>90.32309383333335</x:v>
      </x:c>
      <x:c r="J16" s="32" t="str">
        <x:v>sp|P50718|LYS_TRINI Lysozyme OS=Trichoplusia ni OX=7111 PE=2 SV=1</x:v>
      </x:c>
    </x:row>
    <x:row r="17">
      <x:c r="A17" s="32" t="str">
        <x:v>Immunity</x:v>
      </x:c>
      <x:c r="B17" s="32" t="str">
        <x:v>Cecropin</x:v>
      </x:c>
      <x:c r="C17" s="37" t="n">
        <x:v>0</x:v>
      </x:c>
      <x:c r="D17" s="37"/>
      <x:c r="E17" s="37"/>
      <x:c r="F17" s="37"/>
      <x:c r="G17" s="37"/>
      <x:c r="H17" s="37" t="str"/>
      <x:c r="I17" s="37"/>
      <x:c r="J17" s="32" t="str"/>
    </x:row>
    <x:row r="18">
      <x:c r="A18" s="32" t="str">
        <x:v>Immunity</x:v>
      </x:c>
      <x:c r="B18" s="32" t="str">
        <x:v>Defensin</x:v>
      </x:c>
      <x:c r="C18" s="37" t="n">
        <x:v>0</x:v>
      </x:c>
      <x:c r="D18" s="37"/>
      <x:c r="E18" s="37"/>
      <x:c r="F18" s="37"/>
      <x:c r="G18" s="37"/>
      <x:c r="H18" s="37" t="str"/>
      <x:c r="I18" s="37"/>
      <x:c r="J18" s="32" t="str"/>
    </x:row>
    <x:row r="19">
      <x:c r="A19" s="32" t="str">
        <x:v>Immunity</x:v>
      </x:c>
      <x:c r="B19" s="32" t="str">
        <x:v>PGRP</x:v>
      </x:c>
      <x:c r="C19" s="37" t="n">
        <x:v>23</x:v>
      </x:c>
      <x:c r="D19" s="37" t="n">
        <x:v>3.334386</x:v>
      </x:c>
      <x:c r="E19" s="37" t="n">
        <x:v>1.58377725</x:v>
      </x:c>
      <x:c r="F19" s="37" t="n">
        <x:v>27.168127166666665</x:v>
      </x:c>
      <x:c r="G19" s="37" t="n">
        <x:v>1503.802173</x:v>
      </x:c>
      <x:c r="H19" s="37" t="str">
        <x:v>TRINITY_DN1492_c1_g1_i4</x:v>
      </x:c>
      <x:c r="I19" s="37" t="n">
        <x:v>1503.802173</x:v>
      </x:c>
      <x:c r="J19" s="32" t="str">
        <x:v>sp|Q8INK6|PGPLB_DROME Peptidoglycan-recognition protein LB OS=Drosophila melanogaster OX=7227 GN=PGRP-LB PE=1 SV=1</x:v>
      </x:c>
    </x:row>
    <x:row r="20">
      <x:c r="A20" s="32" t="str">
        <x:v>Immunity</x:v>
      </x:c>
      <x:c r="B20" s="32" t="str">
        <x:v>Prophenoloxidase</x:v>
      </x:c>
      <x:c r="C20" s="37" t="n">
        <x:v>0</x:v>
      </x:c>
      <x:c r="D20" s="37"/>
      <x:c r="E20" s="37"/>
      <x:c r="F20" s="37"/>
      <x:c r="G20" s="37"/>
      <x:c r="H20" s="37" t="str"/>
      <x:c r="I20" s="37"/>
      <x:c r="J20" s="32" t="str"/>
    </x:row>
    <x:row r="21">
      <x:c r="A21" s="32" t="str">
        <x:v>Development</x:v>
      </x:c>
      <x:c r="B21" s="32" t="str">
        <x:v>Juvenile hormone-binding protein</x:v>
      </x:c>
      <x:c r="C21" s="37" t="n">
        <x:v>1</x:v>
      </x:c>
      <x:c r="D21" s="37" t="n">
        <x:v>5.5197255</x:v>
      </x:c>
      <x:c r="E21" s="37" t="n">
        <x:v>5.5197255</x:v>
      </x:c>
      <x:c r="F21" s="37" t="n">
        <x:v>5.5197255</x:v>
      </x:c>
      <x:c r="G21" s="37" t="n">
        <x:v>5.5197255</x:v>
      </x:c>
      <x:c r="H21" s="37" t="str">
        <x:v>TRINITY_DN4676_c0_g1_i1</x:v>
      </x:c>
      <x:c r="I21" s="37" t="n">
        <x:v>5.5197255</x:v>
      </x:c>
      <x:c r="J21" s="32" t="str">
        <x:v>sp|P15500|JHBP_MANSE Juvenile hormone-binding protein (Fragment) OS=Manduca sexta OX=7130 GN=JHBP PE=1 SV=2</x:v>
      </x:c>
    </x:row>
    <x:row r="22">
      <x:c r="A22" s="32" t="str">
        <x:v>Development</x:v>
      </x:c>
      <x:c r="B22" s="32" t="str">
        <x:v>Juvenile hormone esterase</x:v>
      </x:c>
      <x:c r="C22" s="37" t="n">
        <x:v>76</x:v>
      </x:c>
      <x:c r="D22" s="37" t="n">
        <x:v>3.3857684999999997</x:v>
      </x:c>
      <x:c r="E22" s="37" t="n">
        <x:v>0.9090165833333335</x:v>
      </x:c>
      <x:c r="F22" s="37" t="n">
        <x:v>12.602160958333332</x:v>
      </x:c>
      <x:c r="G22" s="37" t="n">
        <x:v>208.46051916666667</x:v>
      </x:c>
      <x:c r="H22" s="37" t="str">
        <x:v>TRINITY_DN307_c1_g1_i2</x:v>
      </x:c>
      <x:c r="I22" s="37" t="n">
        <x:v>208.46051916666667</x:v>
      </x:c>
      <x:c r="J22" s="32" t="str">
        <x:v>sp|P12992|ESTJ_HELVI Juvenile hormone esterase OS=Heliothis virescens OX=7102 PE=1 SV=2</x:v>
      </x:c>
    </x:row>
    <x:row r="23">
      <x:c r="A23" s="32" t="str">
        <x:v>Development</x:v>
      </x:c>
      <x:c r="B23" s="32" t="str">
        <x:v>Ecdysone receptor</x:v>
      </x:c>
      <x:c r="C23" s="37" t="n">
        <x:v>0</x:v>
      </x:c>
      <x:c r="D23" s="37"/>
      <x:c r="E23" s="37"/>
      <x:c r="F23" s="37"/>
      <x:c r="G23" s="37"/>
      <x:c r="H23" s="37" t="str"/>
      <x:c r="I23" s="37"/>
      <x:c r="J23" s="32" t="str"/>
    </x:row>
    <x:row r="24">
      <x:c r="A24" s="32" t="str">
        <x:v>Development</x:v>
      </x:c>
      <x:c r="B24" s="32" t="str">
        <x:v>Broad-complex</x:v>
      </x:c>
      <x:c r="C24" s="37" t="n">
        <x:v>2</x:v>
      </x:c>
      <x:c r="D24" s="37" t="n">
        <x:v>4.857634583333333</x:v>
      </x:c>
      <x:c r="E24" s="37" t="n">
        <x:v>3.421323458333333</x:v>
      </x:c>
      <x:c r="F24" s="37" t="n">
        <x:v>6.293945708333333</x:v>
      </x:c>
      <x:c r="G24" s="37" t="n">
        <x:v>7.730256833333333</x:v>
      </x:c>
      <x:c r="H24" s="37" t="str">
        <x:v>TRINITY_DN3993_c0_g1_i1</x:v>
      </x:c>
      <x:c r="I24" s="37" t="n">
        <x:v>7.730256833333333</x:v>
      </x:c>
      <x:c r="J24" s="32" t="str">
        <x:v>sp|Q01295|BRC1_DROME Broad-complex core protein isoforms 1/2/3/4/5 OS=Drosophila melanogaster OX=7227 GN=br PE=1 SV=2</x:v>
      </x:c>
    </x:row>
    <x:row r="25">
      <x:c r="A25" s="32" t="str">
        <x:v>Development</x:v>
      </x:c>
      <x:c r="B25" s="32" t="str">
        <x:v>Ecdysis-triggering hormone receptor</x:v>
      </x:c>
      <x:c r="C25" s="37" t="n">
        <x:v>0</x:v>
      </x:c>
      <x:c r="D25" s="37"/>
      <x:c r="E25" s="37"/>
      <x:c r="F25" s="37"/>
      <x:c r="G25" s="37"/>
      <x:c r="H25" s="37"/>
      <x:c r="I25" s="37"/>
      <x:c r="J25" s="32"/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2.37999725341797" hidden="0" customWidth="1"/>
    <x:col min="2" max="2" width="14.75" hidden="0" customWidth="1"/>
    <x:col min="3" max="3" width="21.75" hidden="0" customWidth="1"/>
    <x:col min="4" max="4" width="7.75" hidden="0" customWidth="1"/>
    <x:col min="5" max="5" width="7.75" hidden="0" customWidth="1"/>
    <x:col min="6" max="6" width="7.75" hidden="0" customWidth="1"/>
    <x:col min="7" max="7" width="7.75" hidden="0" customWidth="1"/>
    <x:col min="8" max="8" width="7.75" hidden="0" customWidth="1"/>
    <x:col min="9" max="9" width="7.75" hidden="0" customWidth="1"/>
    <x:col min="10" max="10" width="8.380000114440918" hidden="0" customWidth="1"/>
    <x:col min="11" max="11" width="8.380000114440918" hidden="0" customWidth="1"/>
    <x:col min="12" max="12" width="8.880000114440918" hidden="0" customWidth="1"/>
    <x:col min="13" max="13" width="11.25" hidden="0" customWidth="1"/>
    <x:col min="14" max="14" width="3.880000114440918" hidden="0" customWidth="1"/>
    <x:col min="15" max="15" width="22.3799991607666" hidden="0" customWidth="1"/>
    <x:col min="16" max="16" width="8.25" hidden="0" customWidth="1"/>
    <x:col min="17" max="17" width="14.25" hidden="0" customWidth="1"/>
    <x:col min="18" max="18" width="8" hidden="0" customWidth="1"/>
    <x:col min="19" max="19" width="72" hidden="0" customWidth="1"/>
  </x:cols>
  <x:sheetData>
    <x:row r="1" ht="30" customHeight="1">
      <x:c r="A1" s="31" t="str">
        <x:v>Fixed-seed stratified random background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</x:row>
    <x:row r="2">
      <x:c r="A2" s="32" t="str">
        <x:v>Random seed: 20260822; four annotated transcripts sampled from each expression quintile. This is a distributional control, not a biological marker set.</x:v>
      </x:c>
      <x:c r="B2" s="32" t="str"/>
      <x:c r="C2" s="32" t="str"/>
      <x:c r="D2" s="32" t="str"/>
      <x:c r="E2" s="32" t="str"/>
      <x:c r="F2" s="32" t="str"/>
      <x:c r="G2" s="32" t="str"/>
      <x:c r="H2" s="32" t="str"/>
      <x:c r="I2" s="32" t="str"/>
      <x:c r="J2" s="32" t="str"/>
      <x:c r="K2" s="32" t="str"/>
      <x:c r="L2" s="32" t="str"/>
      <x:c r="M2" s="32" t="str"/>
      <x:c r="N2" s="32" t="str"/>
      <x:c r="O2" s="32" t="str"/>
      <x:c r="P2" s="32" t="str"/>
      <x:c r="Q2" s="32" t="str"/>
      <x:c r="R2" s="32" t="str"/>
      <x:c r="S2" s="32" t="str"/>
    </x:row>
    <x:row r="3">
      <x:c r="A3" s="34" t="str">
        <x:v>Group</x:v>
      </x:c>
      <x:c r="B3" s="35" t="str">
        <x:v>Marker</x:v>
      </x:c>
      <x:c r="C3" s="35" t="str">
        <x:v>TranscriptID</x:v>
      </x:c>
      <x:c r="D3" s="35" t="str">
        <x:v>Dan_mg1</x:v>
      </x:c>
      <x:c r="E3" s="35" t="str">
        <x:v>Dan_mg2</x:v>
      </x:c>
      <x:c r="F3" s="35" t="str">
        <x:v>Dan_mg3</x:v>
      </x:c>
      <x:c r="G3" s="35" t="str">
        <x:v>Mul_mg1</x:v>
      </x:c>
      <x:c r="H3" s="35" t="str">
        <x:v>Mul_mg2</x:v>
      </x:c>
      <x:c r="I3" s="35" t="str">
        <x:v>Mul_mg3</x:v>
      </x:c>
      <x:c r="J3" s="35" t="str">
        <x:v>Dan mean</x:v>
      </x:c>
      <x:c r="K3" s="35" t="str">
        <x:v>Mul mean</x:v>
      </x:c>
      <x:c r="L3" s="35" t="str">
        <x:v>Mean TPM</x:v>
      </x:c>
      <x:c r="M3" s="35" t="str">
        <x:v>log10(TPM+1)</x:v>
      </x:c>
      <x:c r="N3" s="35" t="str">
        <x:v>CV</x:v>
      </x:c>
      <x:c r="O3" s="35" t="str">
        <x:v>Swiss-Prot ID</x:v>
      </x:c>
      <x:c r="P3" s="35" t="str">
        <x:v>Identity %</x:v>
      </x:c>
      <x:c r="Q3" s="35" t="str">
        <x:v>Query coverage %</x:v>
      </x:c>
      <x:c r="R3" s="35" t="str">
        <x:v>E-value</x:v>
      </x:c>
      <x:c r="S3" s="36" t="str">
        <x:v>Annotation</x:v>
      </x:c>
    </x:row>
    <x:row r="4">
      <x:c r="A4" s="32" t="str">
        <x:v>Random_expression_quintile_1</x:v>
      </x:c>
      <x:c r="B4" s="32" t="str">
        <x:v>Fixed-seed random</x:v>
      </x:c>
      <x:c r="C4" s="32" t="str">
        <x:v>TRINITY_DN8973_c0_g1_i1</x:v>
      </x:c>
      <x:c r="D4" s="37" t="n">
        <x:v>0</x:v>
      </x:c>
      <x:c r="E4" s="37" t="n">
        <x:v>0</x:v>
      </x:c>
      <x:c r="F4" s="37" t="n">
        <x:v>0.062991</x:v>
      </x:c>
      <x:c r="G4" s="37" t="n">
        <x:v>0</x:v>
      </x:c>
      <x:c r="H4" s="37" t="n">
        <x:v>0.264793</x:v>
      </x:c>
      <x:c r="I4" s="37" t="n">
        <x:v>0</x:v>
      </x:c>
      <x:c r="J4" s="37" t="n">
        <x:f>AVERAGE(D4:F4)</x:f>
        <x:v>0.020997000000000002</x:v>
      </x:c>
      <x:c r="K4" s="37" t="n">
        <x:f>AVERAGE(G4:I4)</x:f>
        <x:v>0.08826433333333333</x:v>
      </x:c>
      <x:c r="L4" s="37" t="n">
        <x:f>AVERAGE(D4:I4)</x:f>
        <x:v>0.05463066666666667</x:v>
      </x:c>
      <x:c r="M4" s="37" t="n">
        <x:f>LOG10(L4+1)</x:f>
        <x:v>0.0231003956418263</x:v>
      </x:c>
      <x:c r="N4" s="37" t="n">
        <x:v>1.9402355005938938</x:v>
      </x:c>
      <x:c r="O4" s="32" t="str">
        <x:v>sp|Q9H5Z1|DHX35_HUMAN</x:v>
      </x:c>
      <x:c r="P4" s="32" t="n">
        <x:v>44.3</x:v>
      </x:c>
      <x:c r="Q4" s="32" t="n">
        <x:v>100</x:v>
      </x:c>
      <x:c r="R4" s="32" t="n">
        <x:v>1.71e-65</x:v>
      </x:c>
      <x:c r="S4" s="32" t="str">
        <x:v>sp|Q9H5Z1|DHX35_HUMAN Probable ATP-dependent RNA helicase DHX35 OS=Homo sapiens OX=9606 GN=DHX35 PE=1 SV=2</x:v>
      </x:c>
    </x:row>
    <x:row r="5">
      <x:c r="A5" s="32" t="str">
        <x:v>Random_expression_quintile_1</x:v>
      </x:c>
      <x:c r="B5" s="32" t="str">
        <x:v>Fixed-seed random</x:v>
      </x:c>
      <x:c r="C5" s="32" t="str">
        <x:v>TRINITY_DN20662_c0_g2_i1</x:v>
      </x:c>
      <x:c r="D5" s="37" t="n">
        <x:v>0.118852</x:v>
      </x:c>
      <x:c r="E5" s="37" t="n">
        <x:v>0</x:v>
      </x:c>
      <x:c r="F5" s="37" t="n">
        <x:v>0</x:v>
      </x:c>
      <x:c r="G5" s="37" t="n">
        <x:v>0</x:v>
      </x:c>
      <x:c r="H5" s="37" t="n">
        <x:v>0</x:v>
      </x:c>
      <x:c r="I5" s="37" t="n">
        <x:v>0</x:v>
      </x:c>
      <x:c r="J5" s="37" t="n">
        <x:f>AVERAGE(D5:F5)</x:f>
        <x:v>0.03961733333333333</x:v>
      </x:c>
      <x:c r="K5" s="37" t="n">
        <x:f>AVERAGE(G5:I5)</x:f>
        <x:v>0</x:v>
      </x:c>
      <x:c r="L5" s="37" t="n">
        <x:f>AVERAGE(D5:I5)</x:f>
        <x:v>0.019808666666666665</x:v>
      </x:c>
      <x:c r="M5" s="37" t="n">
        <x:f>LOG10(L5+1)</x:f>
        <x:v>0.00851869842329277</x:v>
      </x:c>
      <x:c r="N5" s="37" t="n">
        <x:v>2.449489742783178</x:v>
      </x:c>
      <x:c r="O5" s="32" t="str">
        <x:v>sp|Q8IVF4|DYH10_HUMAN</x:v>
      </x:c>
      <x:c r="P5" s="32" t="n">
        <x:v>53.4</x:v>
      </x:c>
      <x:c r="Q5" s="32" t="n">
        <x:v>71.54471544715447</x:v>
      </x:c>
      <x:c r="R5" s="32" t="n">
        <x:v>1.5e-24</x:v>
      </x:c>
      <x:c r="S5" s="32" t="str">
        <x:v>sp|Q8IVF4|DYH10_HUMAN Dynein axonemal heavy chain 10 OS=Homo sapiens OX=9606 GN=DNAH10 PE=1 SV=4</x:v>
      </x:c>
    </x:row>
    <x:row r="6">
      <x:c r="A6" s="32" t="str">
        <x:v>Random_expression_quintile_1</x:v>
      </x:c>
      <x:c r="B6" s="32" t="str">
        <x:v>Fixed-seed random</x:v>
      </x:c>
      <x:c r="C6" s="32" t="str">
        <x:v>TRINITY_DN5916_c0_g1_i17</x:v>
      </x:c>
      <x:c r="D6" s="37" t="n">
        <x:v>0</x:v>
      </x:c>
      <x:c r="E6" s="37" t="n">
        <x:v>0.032881</x:v>
      </x:c>
      <x:c r="F6" s="37" t="n">
        <x:v>0.014451</x:v>
      </x:c>
      <x:c r="G6" s="37" t="n">
        <x:v>0.022519</x:v>
      </x:c>
      <x:c r="H6" s="37" t="n">
        <x:v>0</x:v>
      </x:c>
      <x:c r="I6" s="37" t="n">
        <x:v>0.060719</x:v>
      </x:c>
      <x:c r="J6" s="37" t="n">
        <x:f>AVERAGE(D6:F6)</x:f>
        <x:v>0.015777333333333334</x:v>
      </x:c>
      <x:c r="K6" s="37" t="n">
        <x:f>AVERAGE(G6:I6)</x:f>
        <x:v>0.027746000000000003</x:v>
      </x:c>
      <x:c r="L6" s="37" t="n">
        <x:f>AVERAGE(D6:I6)</x:f>
        <x:v>0.021761666666666665</x:v>
      </x:c>
      <x:c r="M6" s="37" t="n">
        <x:f>LOG10(L6+1)</x:f>
        <x:v>0.00934960526792643</x:v>
      </x:c>
      <x:c r="N6" s="37" t="n">
        <x:v>1.0563993587003395</x:v>
      </x:c>
      <x:c r="O6" s="32" t="str">
        <x:v>sp|P13678|KPC3_DROME</x:v>
      </x:c>
      <x:c r="P6" s="32" t="n">
        <x:v>72.3</x:v>
      </x:c>
      <x:c r="Q6" s="32" t="n">
        <x:v>72.45508982035928</x:v>
      </x:c>
      <x:c r="R6" s="32" t="n">
        <x:v>6.35e-114</x:v>
      </x:c>
      <x:c r="S6" s="32" t="str">
        <x:v>sp|P13678|KPC3_DROME Protein kinase C OS=Drosophila melanogaster OX=7227 GN=Pkc98E PE=2 SV=2</x:v>
      </x:c>
    </x:row>
    <x:row r="7">
      <x:c r="A7" s="32" t="str">
        <x:v>Random_expression_quintile_1</x:v>
      </x:c>
      <x:c r="B7" s="32" t="str">
        <x:v>Fixed-seed random</x:v>
      </x:c>
      <x:c r="C7" s="32" t="str">
        <x:v>TRINITY_DN4723_c0_g1_i19</x:v>
      </x:c>
      <x:c r="D7" s="37" t="n">
        <x:v>0.043654</x:v>
      </x:c>
      <x:c r="E7" s="37" t="n">
        <x:v>0.063077</x:v>
      </x:c>
      <x:c r="F7" s="37" t="n">
        <x:v>0.057766</x:v>
      </x:c>
      <x:c r="G7" s="37" t="n">
        <x:v>0.058528</x:v>
      </x:c>
      <x:c r="H7" s="37" t="n">
        <x:v>0.019257</x:v>
      </x:c>
      <x:c r="I7" s="37" t="n">
        <x:v>0.106116</x:v>
      </x:c>
      <x:c r="J7" s="37" t="n">
        <x:f>AVERAGE(D7:F7)</x:f>
        <x:v>0.05483233333333334</x:v>
      </x:c>
      <x:c r="K7" s="37" t="n">
        <x:f>AVERAGE(G7:I7)</x:f>
        <x:v>0.061300333333333325</x:v>
      </x:c>
      <x:c r="L7" s="37" t="n">
        <x:f>AVERAGE(D7:I7)</x:f>
        <x:v>0.05806633333333333</x:v>
      </x:c>
      <x:c r="M7" s="37" t="n">
        <x:f>LOG10(L7+1)</x:f>
        <x:v>0.0245128957687114</x:v>
      </x:c>
      <x:c r="N7" s="37" t="n">
        <x:v>0.49002031027800025</x:v>
      </x:c>
      <x:c r="O7" s="32" t="str">
        <x:v>sp|Q24535|SRF_DROME</x:v>
      </x:c>
      <x:c r="P7" s="32" t="n">
        <x:v>71.2</x:v>
      </x:c>
      <x:c r="Q7" s="32" t="n">
        <x:v>61.15107913669065</x:v>
      </x:c>
      <x:c r="R7" s="32" t="n">
        <x:v>2.41e-69</x:v>
      </x:c>
      <x:c r="S7" s="32" t="str">
        <x:v>sp|Q24535|SRF_DROME Serum response factor homolog OS=Drosophila melanogaster OX=7227 GN=bs PE=1 SV=2</x:v>
      </x:c>
    </x:row>
    <x:row r="8">
      <x:c r="A8" s="32" t="str">
        <x:v>Random_expression_quintile_2</x:v>
      </x:c>
      <x:c r="B8" s="32" t="str">
        <x:v>Fixed-seed random</x:v>
      </x:c>
      <x:c r="C8" s="32" t="str">
        <x:v>TRINITY_DN22095_c0_g2_i4</x:v>
      </x:c>
      <x:c r="D8" s="37" t="n">
        <x:v>0.174828</x:v>
      </x:c>
      <x:c r="E8" s="37" t="n">
        <x:v>0.502893</x:v>
      </x:c>
      <x:c r="F8" s="37" t="n">
        <x:v>0.143273</x:v>
      </x:c>
      <x:c r="G8" s="37" t="n">
        <x:v>0</x:v>
      </x:c>
      <x:c r="H8" s="37" t="n">
        <x:v>0</x:v>
      </x:c>
      <x:c r="I8" s="37" t="n">
        <x:v>0.337432</x:v>
      </x:c>
      <x:c r="J8" s="37" t="n">
        <x:f>AVERAGE(D8:F8)</x:f>
        <x:v>0.27366466666666667</x:v>
      </x:c>
      <x:c r="K8" s="37" t="n">
        <x:f>AVERAGE(G8:I8)</x:f>
        <x:v>0.11247733333333333</x:v>
      </x:c>
      <x:c r="L8" s="37" t="n">
        <x:f>AVERAGE(D8:I8)</x:f>
        <x:v>0.193071</x:v>
      </x:c>
      <x:c r="M8" s="37" t="n">
        <x:f>LOG10(L8+1)</x:f>
        <x:v>0.0766662894295202</x:v>
      </x:c>
      <x:c r="N8" s="37" t="n">
        <x:v>1.0207449548236163</x:v>
      </x:c>
      <x:c r="O8" s="32" t="str">
        <x:v>sp|Q9Y0Y7|LANC3_DROME</x:v>
      </x:c>
      <x:c r="P8" s="32" t="n">
        <x:v>41.6</x:v>
      </x:c>
      <x:c r="Q8" s="32" t="n">
        <x:v>95.91836734693878</x:v>
      </x:c>
      <x:c r="R8" s="32" t="n">
        <x:v>1.02e-108</x:v>
      </x:c>
      <x:c r="S8" s="32" t="str">
        <x:v>sp|Q9Y0Y7|LANC3_DROME LanC-like protein 3 homolog OS=Drosophila melanogaster OX=7227 GN=CG2061 PE=2 SV=1</x:v>
      </x:c>
    </x:row>
    <x:row r="9">
      <x:c r="A9" s="32" t="str">
        <x:v>Random_expression_quintile_2</x:v>
      </x:c>
      <x:c r="B9" s="32" t="str">
        <x:v>Fixed-seed random</x:v>
      </x:c>
      <x:c r="C9" s="32" t="str">
        <x:v>TRINITY_DN15108_c0_g1_i2</x:v>
      </x:c>
      <x:c r="D9" s="37" t="n">
        <x:v>0.219766</x:v>
      </x:c>
      <x:c r="E9" s="37" t="n">
        <x:v>0.270518</x:v>
      </x:c>
      <x:c r="F9" s="37" t="n">
        <x:v>0.162113</x:v>
      </x:c>
      <x:c r="G9" s="37" t="n">
        <x:v>0.384128</x:v>
      </x:c>
      <x:c r="H9" s="37" t="n">
        <x:v>0</x:v>
      </x:c>
      <x:c r="I9" s="37" t="n">
        <x:v>0.050202</x:v>
      </x:c>
      <x:c r="J9" s="37" t="n">
        <x:f>AVERAGE(D9:F9)</x:f>
        <x:v>0.21746566666666664</x:v>
      </x:c>
      <x:c r="K9" s="37" t="n">
        <x:f>AVERAGE(G9:I9)</x:f>
        <x:v>0.14477666666666666</x:v>
      </x:c>
      <x:c r="L9" s="37" t="n">
        <x:f>AVERAGE(D9:I9)</x:f>
        <x:v>0.18112116666666667</x:v>
      </x:c>
      <x:c r="M9" s="37" t="n">
        <x:f>LOG10(L9+1)</x:f>
        <x:v>0.0722944524953835</x:v>
      </x:c>
      <x:c r="N9" s="37" t="n">
        <x:v>0.7847167855492054</x:v>
      </x:c>
      <x:c r="O9" s="32" t="str">
        <x:v>sp|Q6TEM9|MYLIA_DANRE</x:v>
      </x:c>
      <x:c r="P9" s="32" t="n">
        <x:v>39.6</x:v>
      </x:c>
      <x:c r="Q9" s="32" t="n">
        <x:v>66.55405405405405</x:v>
      </x:c>
      <x:c r="R9" s="32" t="n">
        <x:v>2.16e-34</x:v>
      </x:c>
      <x:c r="S9" s="32" t="str">
        <x:v>sp|Q6TEM9|MYLIA_DANRE E3 ubiquitin-protein ligase MYLIP-A OS=Danio rerio OX=7955 GN=mylipa PE=1 SV=2</x:v>
      </x:c>
    </x:row>
    <x:row r="10">
      <x:c r="A10" s="32" t="str">
        <x:v>Random_expression_quintile_2</x:v>
      </x:c>
      <x:c r="B10" s="32" t="str">
        <x:v>Fixed-seed random</x:v>
      </x:c>
      <x:c r="C10" s="32" t="str">
        <x:v>TRINITY_DN11038_c0_g1_i3</x:v>
      </x:c>
      <x:c r="D10" s="37" t="n">
        <x:v>0.101689</x:v>
      </x:c>
      <x:c r="E10" s="37" t="n">
        <x:v>0.111049</x:v>
      </x:c>
      <x:c r="F10" s="37" t="n">
        <x:v>0.068535</x:v>
      </x:c>
      <x:c r="G10" s="37" t="n">
        <x:v>0.132772</x:v>
      </x:c>
      <x:c r="H10" s="37" t="n">
        <x:v>0.124444</x:v>
      </x:c>
      <x:c r="I10" s="37" t="n">
        <x:v>0.109204</x:v>
      </x:c>
      <x:c r="J10" s="37" t="n">
        <x:f>AVERAGE(D10:F10)</x:f>
        <x:v>0.09375766666666667</x:v>
      </x:c>
      <x:c r="K10" s="37" t="n">
        <x:f>AVERAGE(G10:I10)</x:f>
        <x:v>0.12213999999999998</x:v>
      </x:c>
      <x:c r="L10" s="37" t="n">
        <x:f>AVERAGE(D10:I10)</x:f>
        <x:v>0.10794883333333333</x:v>
      </x:c>
      <x:c r="M10" s="37" t="n">
        <x:f>LOG10(L10+1)</x:f>
        <x:v>0.0445197045132675</x:v>
      </x:c>
      <x:c r="N10" s="37" t="n">
        <x:v>0.20681402377572947</x:v>
      </x:c>
      <x:c r="O10" s="32" t="str">
        <x:v>sp|Q6DGV1|CELF4_DANRE</x:v>
      </x:c>
      <x:c r="P10" s="32" t="n">
        <x:v>56.7</x:v>
      </x:c>
      <x:c r="Q10" s="32" t="n">
        <x:v>110.78167115902966</x:v>
      </x:c>
      <x:c r="R10" s="32" t="n">
        <x:v>1.5e-127</x:v>
      </x:c>
      <x:c r="S10" s="32" t="str">
        <x:v>sp|Q6DGV1|CELF4_DANRE CUGBP Elav-like family member 4 OS=Danio rerio OX=7955 GN=celf4 PE=2 SV=1</x:v>
      </x:c>
    </x:row>
    <x:row r="11">
      <x:c r="A11" s="32" t="str">
        <x:v>Random_expression_quintile_2</x:v>
      </x:c>
      <x:c r="B11" s="32" t="str">
        <x:v>Fixed-seed random</x:v>
      </x:c>
      <x:c r="C11" s="32" t="str">
        <x:v>TRINITY_DN9561_c0_g1_i7</x:v>
      </x:c>
      <x:c r="D11" s="37" t="n">
        <x:v>0</x:v>
      </x:c>
      <x:c r="E11" s="37" t="n">
        <x:v>0</x:v>
      </x:c>
      <x:c r="F11" s="37" t="n">
        <x:v>0</x:v>
      </x:c>
      <x:c r="G11" s="37" t="n">
        <x:v>0.295836</x:v>
      </x:c>
      <x:c r="H11" s="37" t="n">
        <x:v>0.351039</x:v>
      </x:c>
      <x:c r="I11" s="37" t="n">
        <x:v>0</x:v>
      </x:c>
      <x:c r="J11" s="37" t="n">
        <x:f>AVERAGE(D11:F11)</x:f>
        <x:v>0</x:v>
      </x:c>
      <x:c r="K11" s="37" t="n">
        <x:f>AVERAGE(G11:I11)</x:f>
        <x:v>0.21562499999999998</x:v>
      </x:c>
      <x:c r="L11" s="37" t="n">
        <x:f>AVERAGE(D11:I11)</x:f>
        <x:v>0.10781249999999999</x:v>
      </x:c>
      <x:c r="M11" s="37" t="n">
        <x:f>LOG10(L11+1)</x:f>
        <x:v>0.0444662611991794</x:v>
      </x:c>
      <x:c r="N11" s="37" t="n">
        <x:v>1.557631936456342</x:v>
      </x:c>
      <x:c r="O11" s="32" t="str">
        <x:v>sp|Q5NCX5|NEUL4_MOUSE</x:v>
      </x:c>
      <x:c r="P11" s="32" t="n">
        <x:v>41.8</x:v>
      </x:c>
      <x:c r="Q11" s="32" t="n">
        <x:v>60.294117647058826</x:v>
      </x:c>
      <x:c r="R11" s="32" t="n">
        <x:v>1.22e-243</x:v>
      </x:c>
      <x:c r="S11" s="32" t="str">
        <x:v>sp|Q5NCX5|NEUL4_MOUSE Neuralized-like protein 4 OS=Mus musculus OX=10090 GN=Neurl4 PE=1 SV=1</x:v>
      </x:c>
    </x:row>
    <x:row r="12">
      <x:c r="A12" s="32" t="str">
        <x:v>Random_expression_quintile_3</x:v>
      </x:c>
      <x:c r="B12" s="32" t="str">
        <x:v>Fixed-seed random</x:v>
      </x:c>
      <x:c r="C12" s="32" t="str">
        <x:v>TRINITY_DN6442_c0_g1_i28</x:v>
      </x:c>
      <x:c r="D12" s="37" t="n">
        <x:v>0.053127</x:v>
      </x:c>
      <x:c r="E12" s="37" t="n">
        <x:v>0.637889</x:v>
      </x:c>
      <x:c r="F12" s="37" t="n">
        <x:v>0.231087</x:v>
      </x:c>
      <x:c r="G12" s="37" t="n">
        <x:v>0.179673</x:v>
      </x:c>
      <x:c r="H12" s="37" t="n">
        <x:v>0.066883</x:v>
      </x:c>
      <x:c r="I12" s="37" t="n">
        <x:v>0.242559</x:v>
      </x:c>
      <x:c r="J12" s="37" t="n">
        <x:f>AVERAGE(D12:F12)</x:f>
        <x:v>0.3073676666666667</x:v>
      </x:c>
      <x:c r="K12" s="37" t="n">
        <x:f>AVERAGE(G12:I12)</x:f>
        <x:v>0.1630383333333333</x:v>
      </x:c>
      <x:c r="L12" s="37" t="n">
        <x:f>AVERAGE(D12:I12)</x:f>
        <x:v>0.23520300000000002</x:v>
      </x:c>
      <x:c r="M12" s="37" t="n">
        <x:f>LOG10(L12+1)</x:f>
        <x:v>0.0917383377859157</x:v>
      </x:c>
      <x:c r="N12" s="37" t="n">
        <x:v>0.9054987681112262</x:v>
      </x:c>
      <x:c r="O12" s="32" t="str">
        <x:v>sp|O19071|MGAT2_PIG</x:v>
      </x:c>
      <x:c r="P12" s="32" t="n">
        <x:v>43.8</x:v>
      </x:c>
      <x:c r="Q12" s="32" t="n">
        <x:v>74.14829659318637</x:v>
      </x:c>
      <x:c r="R12" s="32" t="n">
        <x:v>5.55e-108</x:v>
      </x:c>
      <x:c r="S12" s="32" t="str">
        <x:v>sp|O19071|MGAT2_PIG Alpha-1,6-mannosyl-glycoprotein 2-beta-N-acetylglucosaminyltransferase OS=Sus scrofa OX=9823 GN=MGAT2 PE=3 SV=1</x:v>
      </x:c>
    </x:row>
    <x:row r="13">
      <x:c r="A13" s="32" t="str">
        <x:v>Random_expression_quintile_3</x:v>
      </x:c>
      <x:c r="B13" s="32" t="str">
        <x:v>Fixed-seed random</x:v>
      </x:c>
      <x:c r="C13" s="32" t="str">
        <x:v>TRINITY_DN7755_c0_g1_i13</x:v>
      </x:c>
      <x:c r="D13" s="37" t="n">
        <x:v>0.467306</x:v>
      </x:c>
      <x:c r="E13" s="37" t="n">
        <x:v>0.225988</x:v>
      </x:c>
      <x:c r="F13" s="37" t="n">
        <x:v>0.143902</x:v>
      </x:c>
      <x:c r="G13" s="37" t="n">
        <x:v>0.642923</x:v>
      </x:c>
      <x:c r="H13" s="37" t="n">
        <x:v>0</x:v>
      </x:c>
      <x:c r="I13" s="37" t="n">
        <x:v>0.337166</x:v>
      </x:c>
      <x:c r="J13" s="37" t="n">
        <x:f>AVERAGE(D13:F13)</x:f>
        <x:v>0.27906533333333333</x:v>
      </x:c>
      <x:c r="K13" s="37" t="n">
        <x:f>AVERAGE(G13:I13)</x:f>
        <x:v>0.3266963333333333</x:v>
      </x:c>
      <x:c r="L13" s="37" t="n">
        <x:f>AVERAGE(D13:I13)</x:f>
        <x:v>0.3028808333333333</x:v>
      </x:c>
      <x:c r="M13" s="37" t="n">
        <x:f>LOG10(L13+1)</x:f>
        <x:v>0.114904695227185</x:v>
      </x:c>
      <x:c r="N13" s="37" t="n">
        <x:v>0.7626166721592593</x:v>
      </x:c>
      <x:c r="O13" s="32" t="str">
        <x:v>sp|P11862|GAS2_MOUSE</x:v>
      </x:c>
      <x:c r="P13" s="32" t="n">
        <x:v>33.5</x:v>
      </x:c>
      <x:c r="Q13" s="32" t="n">
        <x:v>45.78146611341632</x:v>
      </x:c>
      <x:c r="R13" s="32" t="n">
        <x:v>4.42e-50</x:v>
      </x:c>
      <x:c r="S13" s="32" t="str">
        <x:v>sp|P11862|GAS2_MOUSE Growth arrest-specific protein 2 OS=Mus musculus OX=10090 GN=Gas2 PE=1 SV=1</x:v>
      </x:c>
    </x:row>
    <x:row r="14">
      <x:c r="A14" s="32" t="str">
        <x:v>Random_expression_quintile_3</x:v>
      </x:c>
      <x:c r="B14" s="32" t="str">
        <x:v>Fixed-seed random</x:v>
      </x:c>
      <x:c r="C14" s="32" t="str">
        <x:v>TRINITY_DN162_c0_g1_i10</x:v>
      </x:c>
      <x:c r="D14" s="37" t="n">
        <x:v>0.188948</x:v>
      </x:c>
      <x:c r="E14" s="37" t="n">
        <x:v>0.235967</x:v>
      </x:c>
      <x:c r="F14" s="37" t="n">
        <x:v>0.27862</x:v>
      </x:c>
      <x:c r="G14" s="37" t="n">
        <x:v>0.808375</x:v>
      </x:c>
      <x:c r="H14" s="37" t="n">
        <x:v>0.181574</x:v>
      </x:c>
      <x:c r="I14" s="37" t="n">
        <x:v>0.239562</x:v>
      </x:c>
      <x:c r="J14" s="37" t="n">
        <x:f>AVERAGE(D14:F14)</x:f>
        <x:v>0.23451166666666667</x:v>
      </x:c>
      <x:c r="K14" s="37" t="n">
        <x:f>AVERAGE(G14:I14)</x:f>
        <x:v>0.409837</x:v>
      </x:c>
      <x:c r="L14" s="37" t="n">
        <x:f>AVERAGE(D14:I14)</x:f>
        <x:v>0.3221743333333333</x:v>
      </x:c>
      <x:c r="M14" s="37" t="n">
        <x:f>LOG10(L14+1)</x:f>
        <x:v>0.121288722179131</x:v>
      </x:c>
      <x:c r="N14" s="37" t="n">
        <x:v>0.7476006793243251</x:v>
      </x:c>
      <x:c r="O14" s="32" t="str">
        <x:v>sp|A0JPN4|ZC12A_RAT</x:v>
      </x:c>
      <x:c r="P14" s="32" t="n">
        <x:v>53.8</x:v>
      </x:c>
      <x:c r="Q14" s="32" t="n">
        <x:v>64.42953020134229</x:v>
      </x:c>
      <x:c r="R14" s="32" t="n">
        <x:v>1.13e-84</x:v>
      </x:c>
      <x:c r="S14" s="32" t="str">
        <x:v>sp|A0JPN4|ZC12A_RAT Endoribonuclease ZC3H12A OS=Rattus norvegicus OX=10116 GN=Zc3h12a PE=2 SV=1</x:v>
      </x:c>
    </x:row>
    <x:row r="15">
      <x:c r="A15" s="32" t="str">
        <x:v>Random_expression_quintile_3</x:v>
      </x:c>
      <x:c r="B15" s="32" t="str">
        <x:v>Fixed-seed random</x:v>
      </x:c>
      <x:c r="C15" s="32" t="str">
        <x:v>TRINITY_DN9319_c0_g1_i2</x:v>
      </x:c>
      <x:c r="D15" s="37" t="n">
        <x:v>0.311011</x:v>
      </x:c>
      <x:c r="E15" s="37" t="n">
        <x:v>0.453372</x:v>
      </x:c>
      <x:c r="F15" s="37" t="n">
        <x:v>0.426291</x:v>
      </x:c>
      <x:c r="G15" s="37" t="n">
        <x:v>0.661142</x:v>
      </x:c>
      <x:c r="H15" s="37" t="n">
        <x:v>0.354367</x:v>
      </x:c>
      <x:c r="I15" s="37" t="n">
        <x:v>0.330748</x:v>
      </x:c>
      <x:c r="J15" s="37" t="n">
        <x:f>AVERAGE(D15:F15)</x:f>
        <x:v>0.3968913333333333</x:v>
      </x:c>
      <x:c r="K15" s="37" t="n">
        <x:f>AVERAGE(G15:I15)</x:f>
        <x:v>0.44875233333333336</x:v>
      </x:c>
      <x:c r="L15" s="37" t="n">
        <x:f>AVERAGE(D15:I15)</x:f>
        <x:v>0.4228218333333333</x:v>
      </x:c>
      <x:c r="M15" s="37" t="n">
        <x:f>LOG10(L15+1)</x:f>
        <x:v>0.153150520854083</x:v>
      </x:c>
      <x:c r="N15" s="37" t="n">
        <x:v>0.30546346807461877</x:v>
      </x:c>
      <x:c r="O15" s="32" t="str">
        <x:v>sp|Q5F3J5|PSME3_CHICK</x:v>
      </x:c>
      <x:c r="P15" s="32" t="n">
        <x:v>69.2</x:v>
      </x:c>
      <x:c r="Q15" s="32" t="n">
        <x:v>99.15254237288136</x:v>
      </x:c>
      <x:c r="R15" s="32" t="n">
        <x:v>3.17e-59</x:v>
      </x:c>
      <x:c r="S15" s="32" t="str">
        <x:v>sp|Q5F3J5|PSME3_CHICK Proteasome activator complex subunit 3 OS=Gallus gallus OX=9031 GN=PSME3 PE=1 SV=1</x:v>
      </x:c>
    </x:row>
    <x:row r="16">
      <x:c r="A16" s="32" t="str">
        <x:v>Random_expression_quintile_4</x:v>
      </x:c>
      <x:c r="B16" s="32" t="str">
        <x:v>Fixed-seed random</x:v>
      </x:c>
      <x:c r="C16" s="32" t="str">
        <x:v>TRINITY_DN2291_c0_g2_i2</x:v>
      </x:c>
      <x:c r="D16" s="37" t="n">
        <x:v>0</x:v>
      </x:c>
      <x:c r="E16" s="37" t="n">
        <x:v>2.227126</x:v>
      </x:c>
      <x:c r="F16" s="37" t="n">
        <x:v>0</x:v>
      </x:c>
      <x:c r="G16" s="37" t="n">
        <x:v>0</x:v>
      </x:c>
      <x:c r="H16" s="37" t="n">
        <x:v>3.487985</x:v>
      </x:c>
      <x:c r="I16" s="37" t="n">
        <x:v>4.538497</x:v>
      </x:c>
      <x:c r="J16" s="37" t="n">
        <x:f>AVERAGE(D16:F16)</x:f>
        <x:v>0.7423753333333334</x:v>
      </x:c>
      <x:c r="K16" s="37" t="n">
        <x:f>AVERAGE(G16:I16)</x:f>
        <x:v>2.675494</x:v>
      </x:c>
      <x:c r="L16" s="37" t="n">
        <x:f>AVERAGE(D16:I16)</x:f>
        <x:v>1.7089346666666667</x:v>
      </x:c>
      <x:c r="M16" s="37" t="n">
        <x:f>LOG10(L16+1)</x:f>
        <x:v>0.432798530965872</x:v>
      </x:c>
      <x:c r="N16" s="37" t="n">
        <x:v>1.1761957620054886</x:v>
      </x:c>
      <x:c r="O16" s="32" t="str">
        <x:v>sp|Q8BHA0|IN80C_MOUSE</x:v>
      </x:c>
      <x:c r="P16" s="32" t="n">
        <x:v>54.8</x:v>
      </x:c>
      <x:c r="Q16" s="32" t="n">
        <x:v>89.65517241379311</x:v>
      </x:c>
      <x:c r="R16" s="32" t="n">
        <x:v>2.98e-30</x:v>
      </x:c>
      <x:c r="S16" s="32" t="str">
        <x:v>sp|Q8BHA0|IN80C_MOUSE INO80 complex subunit C OS=Mus musculus OX=10090 GN=Ino80c PE=1 SV=1</x:v>
      </x:c>
    </x:row>
    <x:row r="17">
      <x:c r="A17" s="32" t="str">
        <x:v>Random_expression_quintile_4</x:v>
      </x:c>
      <x:c r="B17" s="32" t="str">
        <x:v>Fixed-seed random</x:v>
      </x:c>
      <x:c r="C17" s="32" t="str">
        <x:v>TRINITY_DN8726_c0_g1_i10</x:v>
      </x:c>
      <x:c r="D17" s="37" t="n">
        <x:v>0.419135</x:v>
      </x:c>
      <x:c r="E17" s="37" t="n">
        <x:v>0.585546</x:v>
      </x:c>
      <x:c r="F17" s="37" t="n">
        <x:v>0.525219</x:v>
      </x:c>
      <x:c r="G17" s="37" t="n">
        <x:v>1.102392</x:v>
      </x:c>
      <x:c r="H17" s="37" t="n">
        <x:v>0.952549</x:v>
      </x:c>
      <x:c r="I17" s="37" t="n">
        <x:v>1.175408</x:v>
      </x:c>
      <x:c r="J17" s="37" t="n">
        <x:f>AVERAGE(D17:F17)</x:f>
        <x:v>0.5099666666666667</x:v>
      </x:c>
      <x:c r="K17" s="37" t="n">
        <x:f>AVERAGE(G17:I17)</x:f>
        <x:v>1.076783</x:v>
      </x:c>
      <x:c r="L17" s="37" t="n">
        <x:f>AVERAGE(D17:I17)</x:f>
        <x:v>0.7933748333333334</x:v>
      </x:c>
      <x:c r="M17" s="37" t="n">
        <x:f>LOG10(L17+1)</x:f>
        <x:v>0.253671070953676</x:v>
      </x:c>
      <x:c r="N17" s="37" t="n">
        <x:v>0.40723400578417895</x:v>
      </x:c>
      <x:c r="O17" s="32" t="str">
        <x:v>sp|O46043|PARG_DROME</x:v>
      </x:c>
      <x:c r="P17" s="32" t="n">
        <x:v>50.6</x:v>
      </x:c>
      <x:c r="Q17" s="32" t="n">
        <x:v>68.90080428954424</x:v>
      </x:c>
      <x:c r="R17" s="32" t="n">
        <x:v>2.04e-170</x:v>
      </x:c>
      <x:c r="S17" s="32" t="str">
        <x:v>sp|O46043|PARG_DROME Poly(ADP-ribose) glycohydrolase OS=Drosophila melanogaster OX=7227 GN=Parg PE=1 SV=3</x:v>
      </x:c>
    </x:row>
    <x:row r="18">
      <x:c r="A18" s="32" t="str">
        <x:v>Random_expression_quintile_4</x:v>
      </x:c>
      <x:c r="B18" s="32" t="str">
        <x:v>Fixed-seed random</x:v>
      </x:c>
      <x:c r="C18" s="32" t="str">
        <x:v>TRINITY_DN6407_c0_g1_i4</x:v>
      </x:c>
      <x:c r="D18" s="37" t="n">
        <x:v>0.591833</x:v>
      </x:c>
      <x:c r="E18" s="37" t="n">
        <x:v>0.749266</x:v>
      </x:c>
      <x:c r="F18" s="37" t="n">
        <x:v>0.494371</x:v>
      </x:c>
      <x:c r="G18" s="37" t="n">
        <x:v>0.790216</x:v>
      </x:c>
      <x:c r="H18" s="37" t="n">
        <x:v>0.735958</x:v>
      </x:c>
      <x:c r="I18" s="37" t="n">
        <x:v>0.595919</x:v>
      </x:c>
      <x:c r="J18" s="37" t="n">
        <x:f>AVERAGE(D18:F18)</x:f>
        <x:v>0.6118233333333333</x:v>
      </x:c>
      <x:c r="K18" s="37" t="n">
        <x:f>AVERAGE(G18:I18)</x:f>
        <x:v>0.7073643333333334</x:v>
      </x:c>
      <x:c r="L18" s="37" t="n">
        <x:f>AVERAGE(D18:I18)</x:f>
        <x:v>0.6595938333333333</x:v>
      </x:c>
      <x:c r="M18" s="37" t="n">
        <x:f>LOG10(L18+1)</x:f>
        <x:v>0.220001812422131</x:v>
      </x:c>
      <x:c r="N18" s="37" t="n">
        <x:v>0.1753413633887394</x:v>
      </x:c>
      <x:c r="O18" s="32" t="str">
        <x:v>sp|Q86B79|UNK_DROME</x:v>
      </x:c>
      <x:c r="P18" s="32" t="n">
        <x:v>84</x:v>
      </x:c>
      <x:c r="Q18" s="32" t="n">
        <x:v>56.64739884393064</x:v>
      </x:c>
      <x:c r="R18" s="32" t="n">
        <x:v>2.36e-191</x:v>
      </x:c>
      <x:c r="S18" s="32" t="str">
        <x:v>sp|Q86B79|UNK_DROME RING finger protein unkempt OS=Drosophila melanogaster OX=7227 GN=unk PE=1 SV=1</x:v>
      </x:c>
    </x:row>
    <x:row r="19">
      <x:c r="A19" s="32" t="str">
        <x:v>Random_expression_quintile_4</x:v>
      </x:c>
      <x:c r="B19" s="32" t="str">
        <x:v>Fixed-seed random</x:v>
      </x:c>
      <x:c r="C19" s="32" t="str">
        <x:v>TRINITY_DN1366_c0_g1_i11</x:v>
      </x:c>
      <x:c r="D19" s="37" t="n">
        <x:v>0.938436</x:v>
      </x:c>
      <x:c r="E19" s="37" t="n">
        <x:v>1.095829</x:v>
      </x:c>
      <x:c r="F19" s="37" t="n">
        <x:v>0.817145</x:v>
      </x:c>
      <x:c r="G19" s="37" t="n">
        <x:v>1.171789</x:v>
      </x:c>
      <x:c r="H19" s="37" t="n">
        <x:v>1.080204</x:v>
      </x:c>
      <x:c r="I19" s="37" t="n">
        <x:v>1.470117</x:v>
      </x:c>
      <x:c r="J19" s="37" t="n">
        <x:f>AVERAGE(D19:F19)</x:f>
        <x:v>0.95047</x:v>
      </x:c>
      <x:c r="K19" s="37" t="n">
        <x:f>AVERAGE(G19:I19)</x:f>
        <x:v>1.2407033333333333</x:v>
      </x:c>
      <x:c r="L19" s="37" t="n">
        <x:f>AVERAGE(D19:I19)</x:f>
        <x:v>1.0955866666666667</x:v>
      </x:c>
      <x:c r="M19" s="37" t="n">
        <x:f>LOG10(L19+1)</x:f>
        <x:v>0.321305626552243</x:v>
      </x:c>
      <x:c r="N19" s="37" t="n">
        <x:v>0.20350197584346108</x:v>
      </x:c>
      <x:c r="O19" s="32" t="str">
        <x:v>sp|O00429|DNM1L_HUMAN</x:v>
      </x:c>
      <x:c r="P19" s="32" t="n">
        <x:v>76.4</x:v>
      </x:c>
      <x:c r="Q19" s="32" t="n">
        <x:v>90.2482269503546</x:v>
      </x:c>
      <x:c r="R19" s="32" t="n">
        <x:v>4.46e-279</x:v>
      </x:c>
      <x:c r="S19" s="32" t="str">
        <x:v>sp|O00429|DNM1L_HUMAN Dynamin-1-like protein OS=Homo sapiens OX=9606 GN=DNM1L PE=1 SV=2</x:v>
      </x:c>
    </x:row>
    <x:row r="20">
      <x:c r="A20" s="32" t="str">
        <x:v>Random_expression_quintile_5</x:v>
      </x:c>
      <x:c r="B20" s="32" t="str">
        <x:v>Fixed-seed random</x:v>
      </x:c>
      <x:c r="C20" s="32" t="str">
        <x:v>TRINITY_DN6741_c0_g1_i1</x:v>
      </x:c>
      <x:c r="D20" s="37" t="n">
        <x:v>5.458645</x:v>
      </x:c>
      <x:c r="E20" s="37" t="n">
        <x:v>6.820053</x:v>
      </x:c>
      <x:c r="F20" s="37" t="n">
        <x:v>6.962395</x:v>
      </x:c>
      <x:c r="G20" s="37" t="n">
        <x:v>9.993151</x:v>
      </x:c>
      <x:c r="H20" s="37" t="n">
        <x:v>5.100101</x:v>
      </x:c>
      <x:c r="I20" s="37" t="n">
        <x:v>7.021017</x:v>
      </x:c>
      <x:c r="J20" s="37" t="n">
        <x:f>AVERAGE(D20:F20)</x:f>
        <x:v>6.413697666666667</x:v>
      </x:c>
      <x:c r="K20" s="37" t="n">
        <x:f>AVERAGE(G20:I20)</x:f>
        <x:v>7.371423</x:v>
      </x:c>
      <x:c r="L20" s="37" t="n">
        <x:f>AVERAGE(D20:I20)</x:f>
        <x:v>6.892560333333333</x:v>
      </x:c>
      <x:c r="M20" s="37" t="n">
        <x:f>LOG10(L20+1)</x:f>
        <x:v>0.897217910467149</x:v>
      </x:c>
      <x:c r="N20" s="37" t="n">
        <x:v>0.25053208946078553</x:v>
      </x:c>
      <x:c r="O20" s="32" t="str">
        <x:v>sp|O14730|RIOK3_HUMAN</x:v>
      </x:c>
      <x:c r="P20" s="32" t="n">
        <x:v>48.9</x:v>
      </x:c>
      <x:c r="Q20" s="32" t="n">
        <x:v>78.72696817420436</x:v>
      </x:c>
      <x:c r="R20" s="32" t="n">
        <x:v>3.34e-135</x:v>
      </x:c>
      <x:c r="S20" s="32" t="str">
        <x:v>sp|O14730|RIOK3_HUMAN Serine/threonine-protein kinase RIO3 OS=Homo sapiens OX=9606 GN=RIOK3 PE=1 SV=2</x:v>
      </x:c>
    </x:row>
    <x:row r="21">
      <x:c r="A21" s="32" t="str">
        <x:v>Random_expression_quintile_5</x:v>
      </x:c>
      <x:c r="B21" s="32" t="str">
        <x:v>Fixed-seed random</x:v>
      </x:c>
      <x:c r="C21" s="32" t="str">
        <x:v>TRINITY_DN2533_c0_g1_i1</x:v>
      </x:c>
      <x:c r="D21" s="37" t="n">
        <x:v>9.507861</x:v>
      </x:c>
      <x:c r="E21" s="37" t="n">
        <x:v>17.795282</x:v>
      </x:c>
      <x:c r="F21" s="37" t="n">
        <x:v>4.194606</x:v>
      </x:c>
      <x:c r="G21" s="37" t="n">
        <x:v>9.993405</x:v>
      </x:c>
      <x:c r="H21" s="37" t="n">
        <x:v>10.896216</x:v>
      </x:c>
      <x:c r="I21" s="37" t="n">
        <x:v>15.155919</x:v>
      </x:c>
      <x:c r="J21" s="37" t="n">
        <x:f>AVERAGE(D21:F21)</x:f>
        <x:v>10.499249666666666</x:v>
      </x:c>
      <x:c r="K21" s="37" t="n">
        <x:f>AVERAGE(G21:I21)</x:f>
        <x:v>12.01518</x:v>
      </x:c>
      <x:c r="L21" s="37" t="n">
        <x:f>AVERAGE(D21:I21)</x:f>
        <x:v>11.257214833333334</x:v>
      </x:c>
      <x:c r="M21" s="37" t="n">
        <x:f>LOG10(L21+1)</x:f>
        <x:v>1.0883917980838</x:v>
      </x:c>
      <x:c r="N21" s="37" t="n">
        <x:v>0.4215810423507524</x:v>
      </x:c>
      <x:c r="O21" s="32" t="str">
        <x:v>sp|Q9V7S5|PICO_DROME</x:v>
      </x:c>
      <x:c r="P21" s="32" t="n">
        <x:v>40.9</x:v>
      </x:c>
      <x:c r="Q21" s="32" t="n">
        <x:v>100.64655172413794</x:v>
      </x:c>
      <x:c r="R21" s="32" t="n">
        <x:v>1.09e-107</x:v>
      </x:c>
      <x:c r="S21" s="32" t="str">
        <x:v>sp|Q9V7S5|PICO_DROME Putative inorganic phosphate cotransporter OS=Drosophila melanogaster OX=7227 GN=Picot PE=2 SV=1</x:v>
      </x:c>
    </x:row>
    <x:row r="22">
      <x:c r="A22" s="32" t="str">
        <x:v>Random_expression_quintile_5</x:v>
      </x:c>
      <x:c r="B22" s="32" t="str">
        <x:v>Fixed-seed random</x:v>
      </x:c>
      <x:c r="C22" s="32" t="str">
        <x:v>TRINITY_DN604_c0_g1_i2</x:v>
      </x:c>
      <x:c r="D22" s="37" t="n">
        <x:v>3.458635</x:v>
      </x:c>
      <x:c r="E22" s="37" t="n">
        <x:v>13.252176</x:v>
      </x:c>
      <x:c r="F22" s="37" t="n">
        <x:v>10.18728</x:v>
      </x:c>
      <x:c r="G22" s="37" t="n">
        <x:v>32.348721</x:v>
      </x:c>
      <x:c r="H22" s="37" t="n">
        <x:v>15.493056</x:v>
      </x:c>
      <x:c r="I22" s="37" t="n">
        <x:v>2.486892</x:v>
      </x:c>
      <x:c r="J22" s="37" t="n">
        <x:f>AVERAGE(D22:F22)</x:f>
        <x:v>8.966030333333334</x:v>
      </x:c>
      <x:c r="K22" s="37" t="n">
        <x:f>AVERAGE(G22:I22)</x:f>
        <x:v>16.776222999999998</x:v>
      </x:c>
      <x:c r="L22" s="37" t="n">
        <x:f>AVERAGE(D22:I22)</x:f>
        <x:v>12.871126666666667</x:v>
      </x:c>
      <x:c r="M22" s="37" t="n">
        <x:f>LOG10(L22+1)</x:f>
        <x:v>1.14211173758692</x:v>
      </x:c>
      <x:c r="N22" s="37" t="n">
        <x:v>0.8439841413312603</x:v>
      </x:c>
      <x:c r="O22" s="32" t="str">
        <x:v>sp|P35502|ESTF_MYZPE</x:v>
      </x:c>
      <x:c r="P22" s="32" t="n">
        <x:v>31.4</x:v>
      </x:c>
      <x:c r="Q22" s="32" t="n">
        <x:v>93.06569343065694</x:v>
      </x:c>
      <x:c r="R22" s="32" t="n">
        <x:v>1.47e-48</x:v>
      </x:c>
      <x:c r="S22" s="32" t="str">
        <x:v>sp|P35502|ESTF_MYZPE Esterase FE4 OS=Myzus persicae OX=13164 PE=1 SV=1</x:v>
      </x:c>
    </x:row>
    <x:row r="23">
      <x:c r="A23" s="32" t="str">
        <x:v>Random_expression_quintile_5</x:v>
      </x:c>
      <x:c r="B23" s="32" t="str">
        <x:v>Fixed-seed random</x:v>
      </x:c>
      <x:c r="C23" s="32" t="str">
        <x:v>TRINITY_DN1504_c0_g1_i5</x:v>
      </x:c>
      <x:c r="D23" s="37" t="n">
        <x:v>11.076144</x:v>
      </x:c>
      <x:c r="E23" s="37" t="n">
        <x:v>14.182789</x:v>
      </x:c>
      <x:c r="F23" s="37" t="n">
        <x:v>2.018919</x:v>
      </x:c>
      <x:c r="G23" s="37" t="n">
        <x:v>10.539863</x:v>
      </x:c>
      <x:c r="H23" s="37" t="n">
        <x:v>14.402438</x:v>
      </x:c>
      <x:c r="I23" s="37" t="n">
        <x:v>5.256748</x:v>
      </x:c>
      <x:c r="J23" s="37" t="n">
        <x:f>AVERAGE(D23:F23)</x:f>
        <x:v>9.092617333333333</x:v>
      </x:c>
      <x:c r="K23" s="37" t="n">
        <x:f>AVERAGE(G23:I23)</x:f>
        <x:v>10.066349666666667</x:v>
      </x:c>
      <x:c r="L23" s="37" t="n">
        <x:f>AVERAGE(D23:I23)</x:f>
        <x:v>9.5794835</x:v>
      </x:c>
      <x:c r="M23" s="37" t="n">
        <x:f>LOG10(L23+1)</x:f>
        <x:v>1.02446446556539</x:v>
      </x:c>
      <x:c r="N23" s="37" t="n">
        <x:v>0.5187274437926491</x:v>
      </x:c>
      <x:c r="O23" s="32" t="str">
        <x:v>sp|Q9D0F3|LMAN1_MOUSE</x:v>
      </x:c>
      <x:c r="P23" s="32" t="n">
        <x:v>43.5</x:v>
      </x:c>
      <x:c r="Q23" s="32" t="n">
        <x:v>96.484375</x:v>
      </x:c>
      <x:c r="R23" s="32" t="n">
        <x:v>1.32e-116</x:v>
      </x:c>
      <x:c r="S23" s="32" t="str">
        <x:v>sp|Q9D0F3|LMAN1_MOUSE Protein ERGIC-53 OS=Mus musculus OX=10090 GN=Lman1 PE=1 SV=1</x:v>
      </x:c>
    </x:row>
  </x:sheetData>
  <x:mergeCells>
    <x:mergeCell ref="A1:S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.25" hidden="0" customWidth="1"/>
    <x:col min="2" max="2" width="19.5" hidden="0" customWidth="1"/>
    <x:col min="3" max="3" width="7.75" hidden="0" customWidth="1"/>
    <x:col min="4" max="4" width="7.75" hidden="0" customWidth="1"/>
    <x:col min="5" max="5" width="7.75" hidden="0" customWidth="1"/>
    <x:col min="6" max="6" width="7.75" hidden="0" customWidth="1"/>
    <x:col min="7" max="7" width="7.75" hidden="0" customWidth="1"/>
    <x:col min="8" max="8" width="7.75" hidden="0" customWidth="1"/>
    <x:col min="9" max="9" width="8.880000114440918" hidden="0" customWidth="1"/>
    <x:col min="10" max="10" width="18.6299991607666" hidden="0" customWidth="1"/>
    <x:col min="11" max="11" width="70" hidden="0" customWidth="1"/>
  </x:cols>
  <x:sheetData>
    <x:row r="1" ht="30" customHeight="1">
      <x:c r="A1" s="31" t="str">
        <x:v>Phase I–III detoxification candidate genes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</x:row>
    <x:row r="3">
      <x:c r="A3" s="34" t="str">
        <x:v>Family</x:v>
      </x:c>
      <x:c r="B3" s="35" t="str">
        <x:v>GeneID</x:v>
      </x:c>
      <x:c r="C3" s="35" t="str">
        <x:v>Dan_mg1</x:v>
      </x:c>
      <x:c r="D3" s="35" t="str">
        <x:v>Dan_mg2</x:v>
      </x:c>
      <x:c r="E3" s="35" t="str">
        <x:v>Dan_mg3</x:v>
      </x:c>
      <x:c r="F3" s="35" t="str">
        <x:v>Mul_mg1</x:v>
      </x:c>
      <x:c r="G3" s="35" t="str">
        <x:v>Mul_mg2</x:v>
      </x:c>
      <x:c r="H3" s="35" t="str">
        <x:v>Mul_mg3</x:v>
      </x:c>
      <x:c r="I3" s="35" t="str">
        <x:v>Mean TPM</x:v>
      </x:c>
      <x:c r="J3" s="35" t="str">
        <x:v>Domain class</x:v>
      </x:c>
      <x:c r="K3" s="36" t="str">
        <x:v>Swiss-Prot annotation</x:v>
      </x:c>
    </x:row>
    <x:row r="4">
      <x:c r="A4" s="32" t="str">
        <x:v>CarE</x:v>
      </x:c>
      <x:c r="B4" s="32" t="str">
        <x:v>TRINITY_DN10214_c0_g1</x:v>
      </x:c>
      <x:c r="C4" s="37" t="n">
        <x:v>0.202525</x:v>
      </x:c>
      <x:c r="D4" s="37" t="n">
        <x:v>0.401503</x:v>
      </x:c>
      <x:c r="E4" s="37" t="n">
        <x:v>0.481993</x:v>
      </x:c>
      <x:c r="F4" s="37" t="n">
        <x:v>0.387801</x:v>
      </x:c>
      <x:c r="G4" s="37" t="n">
        <x:v>0.512033</x:v>
      </x:c>
      <x:c r="H4" s="37" t="n">
        <x:v>0.15555</x:v>
      </x:c>
      <x:c r="I4" s="37" t="n">
        <x:f>AVERAGE(C4:H4)</x:f>
        <x:v>0.3569008333333334</x:v>
      </x:c>
      <x:c r="J4" s="32" t="str">
        <x:v>provisional_HQ_domain</x:v>
      </x:c>
      <x:c r="K4" s="32" t="str">
        <x:v>sp|D6WMZ8|ESTJ_TRICA Juvenile hormone esterase OS=Tribolium castaneum OX=7070 GN=Tcjhe PE=1 SV=2</x:v>
      </x:c>
    </x:row>
    <x:row r="5">
      <x:c r="A5" s="32" t="str">
        <x:v>CarE</x:v>
      </x:c>
      <x:c r="B5" s="32" t="str">
        <x:v>TRINITY_DN1194_c0_g1</x:v>
      </x:c>
      <x:c r="C5" s="37" t="n">
        <x:v>8.243196</x:v>
      </x:c>
      <x:c r="D5" s="37" t="n">
        <x:v>11.593958</x:v>
      </x:c>
      <x:c r="E5" s="37" t="n">
        <x:v>5.352087</x:v>
      </x:c>
      <x:c r="F5" s="37" t="n">
        <x:v>8.909136</x:v>
      </x:c>
      <x:c r="G5" s="37" t="n">
        <x:v>10.842778</x:v>
      </x:c>
      <x:c r="H5" s="37" t="n">
        <x:v>22.938625</x:v>
      </x:c>
      <x:c r="I5" s="37" t="n">
        <x:f>AVERAGE(C5:H5)</x:f>
        <x:v>11.313296666666666</x:v>
      </x:c>
      <x:c r="J5" s="32" t="str">
        <x:v>provisional_HQ_domain</x:v>
      </x:c>
      <x:c r="K5" s="32" t="str">
        <x:v>sp|P12992|ESTJ_HELVI Juvenile hormone esterase OS=Heliothis virescens OX=7102 PE=1 SV=2</x:v>
      </x:c>
    </x:row>
    <x:row r="6">
      <x:c r="A6" s="32" t="str">
        <x:v>CarE</x:v>
      </x:c>
      <x:c r="B6" s="32" t="str">
        <x:v>TRINITY_DN13111_c1_g1</x:v>
      </x:c>
      <x:c r="C6" s="37" t="n">
        <x:v>0.483457</x:v>
      </x:c>
      <x:c r="D6" s="37" t="n">
        <x:v>0.703705</x:v>
      </x:c>
      <x:c r="E6" s="37" t="n">
        <x:v>0.438018</x:v>
      </x:c>
      <x:c r="F6" s="37" t="n">
        <x:v>0.6163409999999999</x:v>
      </x:c>
      <x:c r="G6" s="37" t="n">
        <x:v>0.5152220000000001</x:v>
      </x:c>
      <x:c r="H6" s="37" t="n">
        <x:v>0.49023100000000003</x:v>
      </x:c>
      <x:c r="I6" s="37" t="n">
        <x:f>AVERAGE(C6:H6)</x:f>
        <x:v>0.5411623333333334</x:v>
      </x:c>
      <x:c r="J6" s="32" t="str">
        <x:v>provisional_HQ_domain</x:v>
      </x:c>
      <x:c r="K6" s="32" t="str">
        <x:v>sp|P35501|ESTE_MYZPE Esterase E4 OS=Myzus persicae OX=13164 PE=1 SV=1</x:v>
      </x:c>
    </x:row>
    <x:row r="7">
      <x:c r="A7" s="32" t="str">
        <x:v>CarE</x:v>
      </x:c>
      <x:c r="B7" s="32" t="str">
        <x:v>TRINITY_DN1740_c0_g3</x:v>
      </x:c>
      <x:c r="C7" s="37" t="n">
        <x:v>3.412963</x:v>
      </x:c>
      <x:c r="D7" s="37" t="n">
        <x:v>5.313427</x:v>
      </x:c>
      <x:c r="E7" s="37" t="n">
        <x:v>1.844601</x:v>
      </x:c>
      <x:c r="F7" s="37" t="n">
        <x:v>7.907323</x:v>
      </x:c>
      <x:c r="G7" s="37" t="n">
        <x:v>8.185565</x:v>
      </x:c>
      <x:c r="H7" s="37" t="n">
        <x:v>10.349802</x:v>
      </x:c>
      <x:c r="I7" s="37" t="n">
        <x:f>AVERAGE(C7:H7)</x:f>
        <x:v>6.168946833333333</x:v>
      </x:c>
      <x:c r="J7" s="32" t="str">
        <x:v>provisional_HQ_domain</x:v>
      </x:c>
      <x:c r="K7" s="32" t="str">
        <x:v>sp|P12992|ESTJ_HELVI Juvenile hormone esterase OS=Heliothis virescens OX=7102 PE=1 SV=2</x:v>
      </x:c>
    </x:row>
    <x:row r="8">
      <x:c r="A8" s="32" t="str">
        <x:v>CarE</x:v>
      </x:c>
      <x:c r="B8" s="32" t="str">
        <x:v>TRINITY_DN22_c1_g1</x:v>
      </x:c>
      <x:c r="C8" s="37" t="n">
        <x:v>94.046204</x:v>
      </x:c>
      <x:c r="D8" s="37" t="n">
        <x:v>109.988953</x:v>
      </x:c>
      <x:c r="E8" s="37" t="n">
        <x:v>39.345527</x:v>
      </x:c>
      <x:c r="F8" s="37" t="n">
        <x:v>63.689823000000004</x:v>
      </x:c>
      <x:c r="G8" s="37" t="n">
        <x:v>49.329521</x:v>
      </x:c>
      <x:c r="H8" s="37" t="n">
        <x:v>67.72452</x:v>
      </x:c>
      <x:c r="I8" s="37" t="n">
        <x:f>AVERAGE(C8:H8)</x:f>
        <x:v>70.68742466666667</x:v>
      </x:c>
      <x:c r="J8" s="32" t="str">
        <x:v>provisional_HQ_domain</x:v>
      </x:c>
      <x:c r="K8" s="32" t="str">
        <x:v>sp|D6WMZ8|ESTJ_TRICA Juvenile hormone esterase OS=Tribolium castaneum OX=7070 GN=Tcjhe PE=1 SV=2</x:v>
      </x:c>
    </x:row>
    <x:row r="9">
      <x:c r="A9" s="32" t="str">
        <x:v>CarE</x:v>
      </x:c>
      <x:c r="B9" s="32" t="str">
        <x:v>TRINITY_DN22_c2_g1</x:v>
      </x:c>
      <x:c r="C9" s="37" t="n">
        <x:v>5.728978</x:v>
      </x:c>
      <x:c r="D9" s="37" t="n">
        <x:v>8.329708</x:v>
      </x:c>
      <x:c r="E9" s="37" t="n">
        <x:v>7.30494</x:v>
      </x:c>
      <x:c r="F9" s="37" t="n">
        <x:v>7.244254</x:v>
      </x:c>
      <x:c r="G9" s="37" t="n">
        <x:v>6.256051</x:v>
      </x:c>
      <x:c r="H9" s="37" t="n">
        <x:v>7.466169</x:v>
      </x:c>
      <x:c r="I9" s="37" t="n">
        <x:f>AVERAGE(C9:H9)</x:f>
        <x:v>7.055016666666667</x:v>
      </x:c>
      <x:c r="J9" s="32" t="str">
        <x:v>provisional_HQ_domain</x:v>
      </x:c>
      <x:c r="K9" s="32" t="str">
        <x:v>sp|D6WMZ8|ESTJ_TRICA Juvenile hormone esterase OS=Tribolium castaneum OX=7070 GN=Tcjhe PE=1 SV=2</x:v>
      </x:c>
    </x:row>
    <x:row r="10">
      <x:c r="A10" s="32" t="str">
        <x:v>CarE</x:v>
      </x:c>
      <x:c r="B10" s="32" t="str">
        <x:v>TRINITY_DN2312_c0_g1</x:v>
      </x:c>
      <x:c r="C10" s="37" t="n">
        <x:v>122.281248</x:v>
      </x:c>
      <x:c r="D10" s="37" t="n">
        <x:v>273.593183</x:v>
      </x:c>
      <x:c r="E10" s="37" t="n">
        <x:v>45.191125</x:v>
      </x:c>
      <x:c r="F10" s="37" t="n">
        <x:v>35.55659</x:v>
      </x:c>
      <x:c r="G10" s="37" t="n">
        <x:v>33.592735</x:v>
      </x:c>
      <x:c r="H10" s="37" t="n">
        <x:v>34.845456</x:v>
      </x:c>
      <x:c r="I10" s="37" t="n">
        <x:f>AVERAGE(C10:H10)</x:f>
        <x:v>90.8433895</x:v>
      </x:c>
      <x:c r="J10" s="32" t="str">
        <x:v>provisional_HQ_domain</x:v>
      </x:c>
      <x:c r="K10" s="32" t="str">
        <x:v>sp|P12992|ESTJ_HELVI Juvenile hormone esterase OS=Heliothis virescens OX=7102 PE=1 SV=2</x:v>
      </x:c>
    </x:row>
    <x:row r="11">
      <x:c r="A11" s="32" t="str">
        <x:v>CarE</x:v>
      </x:c>
      <x:c r="B11" s="32" t="str">
        <x:v>TRINITY_DN235_c0_g1</x:v>
      </x:c>
      <x:c r="C11" s="37" t="n">
        <x:v>20.578737</x:v>
      </x:c>
      <x:c r="D11" s="37" t="n">
        <x:v>27.055259000000003</x:v>
      </x:c>
      <x:c r="E11" s="37" t="n">
        <x:v>13.283896</x:v>
      </x:c>
      <x:c r="F11" s="37" t="n">
        <x:v>21.453209</x:v>
      </x:c>
      <x:c r="G11" s="37" t="n">
        <x:v>27.683482</x:v>
      </x:c>
      <x:c r="H11" s="37" t="n">
        <x:v>29.514065000000002</x:v>
      </x:c>
      <x:c r="I11" s="37" t="n">
        <x:f>AVERAGE(C11:H11)</x:f>
        <x:v>23.261441333333334</x:v>
      </x:c>
      <x:c r="J11" s="32" t="str">
        <x:v>provisional_HQ_domain</x:v>
      </x:c>
      <x:c r="K11" s="32" t="str">
        <x:v>sp|P37967|PNBA_BACSU Para-nitrobenzyl esterase OS=Bacillus subtilis (strain 168) OX=224308 GN=pnbA PE=1 SV=2</x:v>
      </x:c>
    </x:row>
    <x:row r="12">
      <x:c r="A12" s="32" t="str">
        <x:v>CarE</x:v>
      </x:c>
      <x:c r="B12" s="32" t="str">
        <x:v>TRINITY_DN25123_c0_g1</x:v>
      </x:c>
      <x:c r="C12" s="37" t="n">
        <x:v>0.14831</x:v>
      </x:c>
      <x:c r="D12" s="37" t="n">
        <x:v>0.310312</x:v>
      </x:c>
      <x:c r="E12" s="37" t="n">
        <x:v>0.223771</x:v>
      </x:c>
      <x:c r="F12" s="37" t="n">
        <x:v>0.151037</x:v>
      </x:c>
      <x:c r="G12" s="37" t="n">
        <x:v>0.146694</x:v>
      </x:c>
      <x:c r="H12" s="37" t="n">
        <x:v>0.105728</x:v>
      </x:c>
      <x:c r="I12" s="37" t="n">
        <x:f>AVERAGE(C12:H12)</x:f>
        <x:v>0.18097533333333335</x:v>
      </x:c>
      <x:c r="J12" s="32" t="str">
        <x:v>provisional_HQ_domain</x:v>
      </x:c>
      <x:c r="K12" s="32" t="str">
        <x:v>sp|D6WMZ8|ESTJ_TRICA Juvenile hormone esterase OS=Tribolium castaneum OX=7070 GN=Tcjhe PE=1 SV=2</x:v>
      </x:c>
    </x:row>
    <x:row r="13">
      <x:c r="A13" s="32" t="str">
        <x:v>CarE</x:v>
      </x:c>
      <x:c r="B13" s="32" t="str">
        <x:v>TRINITY_DN256_c0_g1</x:v>
      </x:c>
      <x:c r="C13" s="37" t="n">
        <x:v>68.639888</x:v>
      </x:c>
      <x:c r="D13" s="37" t="n">
        <x:v>76.05456699999999</x:v>
      </x:c>
      <x:c r="E13" s="37" t="n">
        <x:v>71.633096</x:v>
      </x:c>
      <x:c r="F13" s="37" t="n">
        <x:v>68.429578</x:v>
      </x:c>
      <x:c r="G13" s="37" t="n">
        <x:v>63.202992</x:v>
      </x:c>
      <x:c r="H13" s="37" t="n">
        <x:v>88.187764</x:v>
      </x:c>
      <x:c r="I13" s="37" t="n">
        <x:f>AVERAGE(C13:H13)</x:f>
        <x:v>72.69131416666667</x:v>
      </x:c>
      <x:c r="J13" s="32" t="str">
        <x:v>provisional_HQ_domain</x:v>
      </x:c>
      <x:c r="K13" s="32" t="str">
        <x:v>sp|B2D0J5|EST6_APIME Venom carboxylesterase-6 OS=Apis mellifera OX=7460 PE=2 SV=1</x:v>
      </x:c>
    </x:row>
    <x:row r="14">
      <x:c r="A14" s="32" t="str">
        <x:v>CarE</x:v>
      </x:c>
      <x:c r="B14" s="32" t="str">
        <x:v>TRINITY_DN3016_c0_g1</x:v>
      </x:c>
      <x:c r="C14" s="37" t="n">
        <x:v>24.182643</x:v>
      </x:c>
      <x:c r="D14" s="37" t="n">
        <x:v>23.102034</x:v>
      </x:c>
      <x:c r="E14" s="37" t="n">
        <x:v>4.213123</x:v>
      </x:c>
      <x:c r="F14" s="37" t="n">
        <x:v>56.771411</x:v>
      </x:c>
      <x:c r="G14" s="37" t="n">
        <x:v>47.238597999999996</x:v>
      </x:c>
      <x:c r="H14" s="37" t="n">
        <x:v>56.849317</x:v>
      </x:c>
      <x:c r="I14" s="37" t="n">
        <x:f>AVERAGE(C14:H14)</x:f>
        <x:v>35.39285433333333</x:v>
      </x:c>
      <x:c r="J14" s="32" t="str">
        <x:v>provisional_HQ_domain</x:v>
      </x:c>
      <x:c r="K14" s="32" t="str">
        <x:v>sp|D6WMZ8|ESTJ_TRICA Juvenile hormone esterase OS=Tribolium castaneum OX=7070 GN=Tcjhe PE=1 SV=2</x:v>
      </x:c>
    </x:row>
    <x:row r="15">
      <x:c r="A15" s="32" t="str">
        <x:v>CarE</x:v>
      </x:c>
      <x:c r="B15" s="32" t="str">
        <x:v>TRINITY_DN5029_c0_g1</x:v>
      </x:c>
      <x:c r="C15" s="37" t="n">
        <x:v>0.114009</x:v>
      </x:c>
      <x:c r="D15" s="37" t="n">
        <x:v>3.564317</x:v>
      </x:c>
      <x:c r="E15" s="37" t="n">
        <x:v>0.159466</x:v>
      </x:c>
      <x:c r="F15" s="37" t="n">
        <x:v>5.405727000000001</x:v>
      </x:c>
      <x:c r="G15" s="37" t="n">
        <x:v>2.689457</x:v>
      </x:c>
      <x:c r="H15" s="37" t="n">
        <x:v>1.137344</x:v>
      </x:c>
      <x:c r="I15" s="37" t="n">
        <x:f>AVERAGE(C15:H15)</x:f>
        <x:v>2.178386666666667</x:v>
      </x:c>
      <x:c r="J15" s="32" t="str">
        <x:v>provisional_HQ_domain</x:v>
      </x:c>
      <x:c r="K15" s="32" t="str">
        <x:v>sp|P12992|ESTJ_HELVI Juvenile hormone esterase OS=Heliothis virescens OX=7102 PE=1 SV=2</x:v>
      </x:c>
    </x:row>
    <x:row r="16">
      <x:c r="A16" s="32" t="str">
        <x:v>CarE</x:v>
      </x:c>
      <x:c r="B16" s="32" t="str">
        <x:v>TRINITY_DN5285_c0_g1</x:v>
      </x:c>
      <x:c r="C16" s="37" t="n">
        <x:v>41.630706</x:v>
      </x:c>
      <x:c r="D16" s="37" t="n">
        <x:v>52.31971</x:v>
      </x:c>
      <x:c r="E16" s="37" t="n">
        <x:v>35.33123</x:v>
      </x:c>
      <x:c r="F16" s="37" t="n">
        <x:v>56.484621</x:v>
      </x:c>
      <x:c r="G16" s="37" t="n">
        <x:v>51.264856</x:v>
      </x:c>
      <x:c r="H16" s="37" t="n">
        <x:v>77.552592</x:v>
      </x:c>
      <x:c r="I16" s="37" t="n">
        <x:f>AVERAGE(C16:H16)</x:f>
        <x:v>52.430619166666666</x:v>
      </x:c>
      <x:c r="J16" s="32" t="str">
        <x:v>provisional_HQ_domain</x:v>
      </x:c>
      <x:c r="K16" s="32" t="str">
        <x:v>sp|D6WMZ8|ESTJ_TRICA Juvenile hormone esterase OS=Tribolium castaneum OX=7070 GN=Tcjhe PE=1 SV=2</x:v>
      </x:c>
    </x:row>
    <x:row r="17">
      <x:c r="A17" s="32" t="str">
        <x:v>CarE</x:v>
      </x:c>
      <x:c r="B17" s="32" t="str">
        <x:v>TRINITY_DN552_c0_g1</x:v>
      </x:c>
      <x:c r="C17" s="37" t="n">
        <x:v>71.68526800000001</x:v>
      </x:c>
      <x:c r="D17" s="37" t="n">
        <x:v>69.841554</x:v>
      </x:c>
      <x:c r="E17" s="37" t="n">
        <x:v>103.22563299999999</x:v>
      </x:c>
      <x:c r="F17" s="37" t="n">
        <x:v>59.20842</x:v>
      </x:c>
      <x:c r="G17" s="37" t="n">
        <x:v>73.54925300000001</x:v>
      </x:c>
      <x:c r="H17" s="37" t="n">
        <x:v>66.278902</x:v>
      </x:c>
      <x:c r="I17" s="37" t="n">
        <x:f>AVERAGE(C17:H17)</x:f>
        <x:v>73.96483833333333</x:v>
      </x:c>
      <x:c r="J17" s="32" t="str">
        <x:v>provisional_HQ_domain</x:v>
      </x:c>
      <x:c r="K17" s="32" t="str">
        <x:v>sp|Q8R0W5|EST4A_MOUSE Carboxylesterase 4A OS=Mus musculus OX=10090 GN=Ces4a PE=2 SV=2</x:v>
      </x:c>
    </x:row>
    <x:row r="18">
      <x:c r="A18" s="32" t="str">
        <x:v>CarE</x:v>
      </x:c>
      <x:c r="B18" s="32" t="str">
        <x:v>TRINITY_DN58976_c0_g1</x:v>
      </x:c>
      <x:c r="C18" s="37" t="n">
        <x:v>0.028288</x:v>
      </x:c>
      <x:c r="D18" s="37" t="n">
        <x:v>0.821056</x:v>
      </x:c>
      <x:c r="E18" s="37" t="n">
        <x:v>0.986019</x:v>
      </x:c>
      <x:c r="F18" s="37" t="n">
        <x:v>0.279525</x:v>
      </x:c>
      <x:c r="G18" s="37" t="n">
        <x:v>0.114472</x:v>
      </x:c>
      <x:c r="H18" s="37" t="n">
        <x:v>0.113989</x:v>
      </x:c>
      <x:c r="I18" s="37" t="n">
        <x:f>AVERAGE(C18:H18)</x:f>
        <x:v>0.3905581666666667</x:v>
      </x:c>
      <x:c r="J18" s="32" t="str">
        <x:v>provisional_HQ_domain</x:v>
      </x:c>
      <x:c r="K18" s="32" t="str">
        <x:v>sp|P12992|ESTJ_HELVI Juvenile hormone esterase OS=Heliothis virescens OX=7102 PE=1 SV=2</x:v>
      </x:c>
    </x:row>
    <x:row r="19">
      <x:c r="A19" s="32" t="str">
        <x:v>CarE</x:v>
      </x:c>
      <x:c r="B19" s="32" t="str">
        <x:v>TRINITY_DN604_c0_g1</x:v>
      </x:c>
      <x:c r="C19" s="37" t="n">
        <x:v>583.451471</x:v>
      </x:c>
      <x:c r="D19" s="37" t="n">
        <x:v>549.737877</x:v>
      </x:c>
      <x:c r="E19" s="37" t="n">
        <x:v>1522.0172830000001</x:v>
      </x:c>
      <x:c r="F19" s="37" t="n">
        <x:v>571.098655</x:v>
      </x:c>
      <x:c r="G19" s="37" t="n">
        <x:v>1493.007143</x:v>
      </x:c>
      <x:c r="H19" s="37" t="n">
        <x:v>795.135999</x:v>
      </x:c>
      <x:c r="I19" s="37" t="n">
        <x:f>AVERAGE(C19:H19)</x:f>
        <x:v>919.0747379999999</x:v>
      </x:c>
      <x:c r="J19" s="32" t="str">
        <x:v>provisional_HQ_domain</x:v>
      </x:c>
      <x:c r="K19" s="32" t="str">
        <x:v>sp|P35502|ESTF_MYZPE Esterase FE4 OS=Myzus persicae OX=13164 PE=1 SV=1</x:v>
      </x:c>
    </x:row>
    <x:row r="20">
      <x:c r="A20" s="32" t="str">
        <x:v>CarE</x:v>
      </x:c>
      <x:c r="B20" s="32" t="str">
        <x:v>TRINITY_DN665_c0_g1</x:v>
      </x:c>
      <x:c r="C20" s="37" t="n">
        <x:v>33.449305</x:v>
      </x:c>
      <x:c r="D20" s="37" t="n">
        <x:v>31.893776</x:v>
      </x:c>
      <x:c r="E20" s="37" t="n">
        <x:v>31.835379</x:v>
      </x:c>
      <x:c r="F20" s="37" t="n">
        <x:v>43.741825</x:v>
      </x:c>
      <x:c r="G20" s="37" t="n">
        <x:v>56.578534</x:v>
      </x:c>
      <x:c r="H20" s="37" t="n">
        <x:v>124.993016</x:v>
      </x:c>
      <x:c r="I20" s="37" t="n">
        <x:f>AVERAGE(C20:H20)</x:f>
        <x:v>53.74863916666666</x:v>
      </x:c>
      <x:c r="J20" s="32" t="str">
        <x:v>provisional_HQ_domain</x:v>
      </x:c>
      <x:c r="K20" s="32" t="str">
        <x:v>sp|P07882|CEL_RAT Bile salt-activated lipase OS=Rattus norvegicus OX=10116 GN=Cel PE=1 SV=2</x:v>
      </x:c>
    </x:row>
    <x:row r="21">
      <x:c r="A21" s="32" t="str">
        <x:v>CarE</x:v>
      </x:c>
      <x:c r="B21" s="32" t="str">
        <x:v>TRINITY_DN69_c0_g1</x:v>
      </x:c>
      <x:c r="C21" s="37" t="n">
        <x:v>224.300983</x:v>
      </x:c>
      <x:c r="D21" s="37" t="n">
        <x:v>271.85749300000003</x:v>
      </x:c>
      <x:c r="E21" s="37" t="n">
        <x:v>389.68120999999996</x:v>
      </x:c>
      <x:c r="F21" s="37" t="n">
        <x:v>144.332576</x:v>
      </x:c>
      <x:c r="G21" s="37" t="n">
        <x:v>178.875345</x:v>
      </x:c>
      <x:c r="H21" s="37" t="n">
        <x:v>202.276665</x:v>
      </x:c>
      <x:c r="I21" s="37" t="n">
        <x:f>AVERAGE(C21:H21)</x:f>
        <x:v>235.22071200000002</x:v>
      </x:c>
      <x:c r="J21" s="32" t="str">
        <x:v>provisional_HQ_domain</x:v>
      </x:c>
      <x:c r="K21" s="32" t="str">
        <x:v>sp|P12992|ESTJ_HELVI Juvenile hormone esterase OS=Heliothis virescens OX=7102 PE=1 SV=2</x:v>
      </x:c>
    </x:row>
    <x:row r="22">
      <x:c r="A22" s="32" t="str">
        <x:v>CarE</x:v>
      </x:c>
      <x:c r="B22" s="32" t="str">
        <x:v>TRINITY_DN920_c0_g1</x:v>
      </x:c>
      <x:c r="C22" s="37" t="n">
        <x:v>180.352236</x:v>
      </x:c>
      <x:c r="D22" s="37" t="n">
        <x:v>423.857169</x:v>
      </x:c>
      <x:c r="E22" s="37" t="n">
        <x:v>334.737678</x:v>
      </x:c>
      <x:c r="F22" s="37" t="n">
        <x:v>511.927886</x:v>
      </x:c>
      <x:c r="G22" s="37" t="n">
        <x:v>453.930606</x:v>
      </x:c>
      <x:c r="H22" s="37" t="n">
        <x:v>739.705277</x:v>
      </x:c>
      <x:c r="I22" s="37" t="n">
        <x:f>AVERAGE(C22:H22)</x:f>
        <x:v>440.75180866666665</x:v>
      </x:c>
      <x:c r="J22" s="32" t="str">
        <x:v>provisional_HQ_domain</x:v>
      </x:c>
      <x:c r="K22" s="32" t="str">
        <x:v>sp|P12992|ESTJ_HELVI Juvenile hormone esterase OS=Heliothis virescens OX=7102 PE=1 SV=2</x:v>
      </x:c>
    </x:row>
    <x:row r="23">
      <x:c r="A23" s="32" t="str">
        <x:v>CarE</x:v>
      </x:c>
      <x:c r="B23" s="32" t="str">
        <x:v>TRINITY_DN9322_c0_g2</x:v>
      </x:c>
      <x:c r="C23" s="37" t="n">
        <x:v>2.729488</x:v>
      </x:c>
      <x:c r="D23" s="37" t="n">
        <x:v>4.091293</x:v>
      </x:c>
      <x:c r="E23" s="37" t="n">
        <x:v>2.315495</x:v>
      </x:c>
      <x:c r="F23" s="37" t="n">
        <x:v>4.268961999999999</x:v>
      </x:c>
      <x:c r="G23" s="37" t="n">
        <x:v>3.431733</x:v>
      </x:c>
      <x:c r="H23" s="37" t="n">
        <x:v>4.287108</x:v>
      </x:c>
      <x:c r="I23" s="37" t="n">
        <x:f>AVERAGE(C23:H23)</x:f>
        <x:v>3.520679833333334</x:v>
      </x:c>
      <x:c r="J23" s="32" t="str">
        <x:v>provisional_HQ_domain</x:v>
      </x:c>
      <x:c r="K23" s="32" t="str">
        <x:v>sp|D6WMZ8|ESTJ_TRICA Juvenile hormone esterase OS=Tribolium castaneum OX=7070 GN=Tcjhe PE=1 SV=2</x:v>
      </x:c>
    </x:row>
    <x:row r="24">
      <x:c r="A24" s="32" t="str">
        <x:v>GST</x:v>
      </x:c>
      <x:c r="B24" s="32" t="str">
        <x:v>TRINITY_DN114_c0_g1</x:v>
      </x:c>
      <x:c r="C24" s="37" t="n">
        <x:v>114.21247100000001</x:v>
      </x:c>
      <x:c r="D24" s="37" t="n">
        <x:v>112.606572</x:v>
      </x:c>
      <x:c r="E24" s="37" t="n">
        <x:v>92.462179</x:v>
      </x:c>
      <x:c r="F24" s="37" t="n">
        <x:v>122.290464</x:v>
      </x:c>
      <x:c r="G24" s="37" t="n">
        <x:v>89.976414</x:v>
      </x:c>
      <x:c r="H24" s="37" t="n">
        <x:v>98.779982</x:v>
      </x:c>
      <x:c r="I24" s="37" t="n">
        <x:f>AVERAGE(C24:H24)</x:f>
        <x:v>105.05468033333334</x:v>
      </x:c>
      <x:c r="J24" s="32" t="str">
        <x:v>review</x:v>
      </x:c>
      <x:c r="K24" s="32" t="str">
        <x:v>sp|Q9VY78|CLIC_DROME Chloride intracellular channel Clic OS=Drosophila melanogaster OX=7227 GN=Clic PE=1 SV=1</x:v>
      </x:c>
    </x:row>
    <x:row r="25">
      <x:c r="A25" s="32" t="str">
        <x:v>GST</x:v>
      </x:c>
      <x:c r="B25" s="32" t="str">
        <x:v>TRINITY_DN11666_c0_g1</x:v>
      </x:c>
      <x:c r="C25" s="37" t="n">
        <x:v>59.648394</x:v>
      </x:c>
      <x:c r="D25" s="37" t="n">
        <x:v>89.562112</x:v>
      </x:c>
      <x:c r="E25" s="37" t="n">
        <x:v>48.077693</x:v>
      </x:c>
      <x:c r="F25" s="37" t="n">
        <x:v>84.47549199999999</x:v>
      </x:c>
      <x:c r="G25" s="37" t="n">
        <x:v>67.26394499999999</x:v>
      </x:c>
      <x:c r="H25" s="37" t="n">
        <x:v>101.707523</x:v>
      </x:c>
      <x:c r="I25" s="37" t="n">
        <x:f>AVERAGE(C25:H25)</x:f>
        <x:v>75.12252649999999</x:v>
      </x:c>
      <x:c r="J25" s="32" t="str">
        <x:v>provisional_HQ_domain</x:v>
      </x:c>
      <x:c r="K25" s="32" t="str">
        <x:v>sp|Q8TB36|GDAP1_HUMAN Ganglioside-induced differentiation-associated protein 1 OS=Homo sapiens OX=9606 GN=GDAP1 PE=1 SV=3</x:v>
      </x:c>
    </x:row>
    <x:row r="26">
      <x:c r="A26" s="32" t="str">
        <x:v>GST</x:v>
      </x:c>
      <x:c r="B26" s="32" t="str">
        <x:v>TRINITY_DN12434_c0_g2</x:v>
      </x:c>
      <x:c r="C26" s="37" t="n">
        <x:v>5.977098</x:v>
      </x:c>
      <x:c r="D26" s="37" t="n">
        <x:v>2.064915</x:v>
      </x:c>
      <x:c r="E26" s="37" t="n">
        <x:v>10.395011</x:v>
      </x:c>
      <x:c r="F26" s="37" t="n">
        <x:v>28.474612</x:v>
      </x:c>
      <x:c r="G26" s="37" t="n">
        <x:v>16.79658</x:v>
      </x:c>
      <x:c r="H26" s="37" t="n">
        <x:v>4.125835</x:v>
      </x:c>
      <x:c r="I26" s="37" t="n">
        <x:f>AVERAGE(C26:H26)</x:f>
        <x:v>11.305675166666667</x:v>
      </x:c>
      <x:c r="J26" s="32" t="str">
        <x:v>provisional_HQ_domain</x:v>
      </x:c>
      <x:c r="K26" s="32" t="str">
        <x:v>sp|P46430|GSTT1_MANSE Glutathione S-transferase 1 OS=Manduca sexta OX=7130 GN=GST1 PE=2 SV=1</x:v>
      </x:c>
    </x:row>
    <x:row r="27">
      <x:c r="A27" s="32" t="str">
        <x:v>GST</x:v>
      </x:c>
      <x:c r="B27" s="32" t="str">
        <x:v>TRINITY_DN1310_c0_g1</x:v>
      </x:c>
      <x:c r="C27" s="37" t="n">
        <x:v>134.150128</x:v>
      </x:c>
      <x:c r="D27" s="37" t="n">
        <x:v>919.627843</x:v>
      </x:c>
      <x:c r="E27" s="37" t="n">
        <x:v>82.06249199999999</x:v>
      </x:c>
      <x:c r="F27" s="37" t="n">
        <x:v>452.23861</x:v>
      </x:c>
      <x:c r="G27" s="37" t="n">
        <x:v>393.466949</x:v>
      </x:c>
      <x:c r="H27" s="37" t="n">
        <x:v>75.406751</x:v>
      </x:c>
      <x:c r="I27" s="37" t="n">
        <x:f>AVERAGE(C27:H27)</x:f>
        <x:v>342.8254621666667</x:v>
      </x:c>
      <x:c r="J27" s="32" t="str">
        <x:v>provisional_HQ_domain</x:v>
      </x:c>
      <x:c r="K27" s="32" t="str">
        <x:v>sp|P28338|GSTT1_MUSDO Glutathione S-transferase 1 OS=Musca domestica OX=7370 GN=Gst1 PE=1 SV=1</x:v>
      </x:c>
    </x:row>
    <x:row r="28">
      <x:c r="A28" s="32" t="str">
        <x:v>GST</x:v>
      </x:c>
      <x:c r="B28" s="32" t="str">
        <x:v>TRINITY_DN1343_c0_g1</x:v>
      </x:c>
      <x:c r="C28" s="37" t="n">
        <x:v>2.666962</x:v>
      </x:c>
      <x:c r="D28" s="37" t="n">
        <x:v>4.029513</x:v>
      </x:c>
      <x:c r="E28" s="37" t="n">
        <x:v>2.771708</x:v>
      </x:c>
      <x:c r="F28" s="37" t="n">
        <x:v>3.9239059999999997</x:v>
      </x:c>
      <x:c r="G28" s="37" t="n">
        <x:v>3.190048</x:v>
      </x:c>
      <x:c r="H28" s="37" t="n">
        <x:v>2.836938</x:v>
      </x:c>
      <x:c r="I28" s="37" t="n">
        <x:f>AVERAGE(C28:H28)</x:f>
        <x:v>3.2365125</x:v>
      </x:c>
      <x:c r="J28" s="32" t="str">
        <x:v>review</x:v>
      </x:c>
      <x:c r="K28" s="32" t="str">
        <x:v>sp|Q8N5C6|SRBD1_HUMAN S1 RNA-binding domain-containing protein 1 OS=Homo sapiens OX=9606 GN=SRBD1 PE=1 SV=2</x:v>
      </x:c>
    </x:row>
    <x:row r="29">
      <x:c r="A29" s="32" t="str">
        <x:v>GST</x:v>
      </x:c>
      <x:c r="B29" s="32" t="str">
        <x:v>TRINITY_DN13779_c0_g1</x:v>
      </x:c>
      <x:c r="C29" s="37" t="n">
        <x:v>57.275219</x:v>
      </x:c>
      <x:c r="D29" s="37" t="n">
        <x:v>85.028175</x:v>
      </x:c>
      <x:c r="E29" s="37" t="n">
        <x:v>25.285469</x:v>
      </x:c>
      <x:c r="F29" s="37" t="n">
        <x:v>76.546104</x:v>
      </x:c>
      <x:c r="G29" s="37" t="n">
        <x:v>95.628602</x:v>
      </x:c>
      <x:c r="H29" s="37" t="n">
        <x:v>69.264709</x:v>
      </x:c>
      <x:c r="I29" s="37" t="n">
        <x:f>AVERAGE(C29:H29)</x:f>
        <x:v>68.17137966666667</x:v>
      </x:c>
      <x:c r="J29" s="32" t="str">
        <x:v>provisional_HQ_domain</x:v>
      </x:c>
      <x:c r="K29" s="32" t="str">
        <x:v>sp|P42860|GSTT1_LUCCU Glutathione S-transferase 1-1 OS=Lucilia cuprina OX=7375 GN=GST1 PE=1 SV=2</x:v>
      </x:c>
    </x:row>
    <x:row r="30">
      <x:c r="A30" s="32" t="str">
        <x:v>GST</x:v>
      </x:c>
      <x:c r="B30" s="32" t="str">
        <x:v>TRINITY_DN1407_c0_g1</x:v>
      </x:c>
      <x:c r="C30" s="37" t="n">
        <x:v>4.171001</x:v>
      </x:c>
      <x:c r="D30" s="37" t="n">
        <x:v>236.423008</x:v>
      </x:c>
      <x:c r="E30" s="37" t="n">
        <x:v>42.383383</x:v>
      </x:c>
      <x:c r="F30" s="37" t="n">
        <x:v>302.843043</x:v>
      </x:c>
      <x:c r="G30" s="37" t="n">
        <x:v>170.720751</x:v>
      </x:c>
      <x:c r="H30" s="37" t="n">
        <x:v>34.364763</x:v>
      </x:c>
      <x:c r="I30" s="37" t="n">
        <x:f>AVERAGE(C30:H30)</x:f>
        <x:v>131.8176581666667</x:v>
      </x:c>
      <x:c r="J30" s="32" t="str">
        <x:v>provisional_HQ_domain</x:v>
      </x:c>
      <x:c r="K30" s="32" t="str">
        <x:v>sp|O18598|GST1_BLAGE Glutathione S-transferase OS=Blattella germanica OX=6973 PE=1 SV=3</x:v>
      </x:c>
    </x:row>
    <x:row r="31">
      <x:c r="A31" s="32" t="str">
        <x:v>GST</x:v>
      </x:c>
      <x:c r="B31" s="32" t="str">
        <x:v>TRINITY_DN1430_c2_g2</x:v>
      </x:c>
      <x:c r="C31" s="37" t="n">
        <x:v>75.483824</x:v>
      </x:c>
      <x:c r="D31" s="37" t="n">
        <x:v>96.2216</x:v>
      </x:c>
      <x:c r="E31" s="37" t="n">
        <x:v>65.533336</x:v>
      </x:c>
      <x:c r="F31" s="37" t="n">
        <x:v>121.314948</x:v>
      </x:c>
      <x:c r="G31" s="37" t="n">
        <x:v>110.519987</x:v>
      </x:c>
      <x:c r="H31" s="37" t="n">
        <x:v>110.809122</x:v>
      </x:c>
      <x:c r="I31" s="37" t="n">
        <x:f>AVERAGE(C31:H31)</x:f>
        <x:v>96.64713616666667</x:v>
      </x:c>
      <x:c r="J31" s="32" t="str">
        <x:v>review</x:v>
      </x:c>
      <x:c r="K31" s="32" t="str">
        <x:v>sp|P97615|THIOM_RAT Thioredoxin, mitochondrial OS=Rattus norvegicus OX=10116 GN=Txn2 PE=2 SV=1</x:v>
      </x:c>
    </x:row>
    <x:row r="32">
      <x:c r="A32" s="32" t="str">
        <x:v>GST</x:v>
      </x:c>
      <x:c r="B32" s="32" t="str">
        <x:v>TRINITY_DN163_c3_g1</x:v>
      </x:c>
      <x:c r="C32" s="37" t="n">
        <x:v>1.267673</x:v>
      </x:c>
      <x:c r="D32" s="37" t="n">
        <x:v>3.911892</x:v>
      </x:c>
      <x:c r="E32" s="37" t="n">
        <x:v>0.263767</x:v>
      </x:c>
      <x:c r="F32" s="37" t="n">
        <x:v>3.886035</x:v>
      </x:c>
      <x:c r="G32" s="37" t="n">
        <x:v>3.155135</x:v>
      </x:c>
      <x:c r="H32" s="37" t="n">
        <x:v>3.318809</x:v>
      </x:c>
      <x:c r="I32" s="37" t="n">
        <x:f>AVERAGE(C32:H32)</x:f>
        <x:v>2.6338851666666665</x:v>
      </x:c>
      <x:c r="J32" s="32" t="str">
        <x:v>provisional_HQ_domain</x:v>
      </x:c>
      <x:c r="K32" s="32" t="str">
        <x:v>sp|P46430|GSTT1_MANSE Glutathione S-transferase 1 OS=Manduca sexta OX=7130 GN=GST1 PE=2 SV=1</x:v>
      </x:c>
    </x:row>
    <x:row r="33">
      <x:c r="A33" s="32" t="str">
        <x:v>GST</x:v>
      </x:c>
      <x:c r="B33" s="32" t="str">
        <x:v>TRINITY_DN1682_c0_g2</x:v>
      </x:c>
      <x:c r="C33" s="37" t="n">
        <x:v>34.596573</x:v>
      </x:c>
      <x:c r="D33" s="37" t="n">
        <x:v>52.163227000000006</x:v>
      </x:c>
      <x:c r="E33" s="37" t="n">
        <x:v>4.623584</x:v>
      </x:c>
      <x:c r="F33" s="37" t="n">
        <x:v>32.359995</x:v>
      </x:c>
      <x:c r="G33" s="37" t="n">
        <x:v>39.067121</x:v>
      </x:c>
      <x:c r="H33" s="37" t="n">
        <x:v>20.001053</x:v>
      </x:c>
      <x:c r="I33" s="37" t="n">
        <x:f>AVERAGE(C33:H33)</x:f>
        <x:v>30.468592166666667</x:v>
      </x:c>
      <x:c r="J33" s="32" t="str">
        <x:v>provisional_HQ_domain</x:v>
      </x:c>
      <x:c r="K33" s="32" t="str">
        <x:v>sp|P46430|GSTT1_MANSE Glutathione S-transferase 1 OS=Manduca sexta OX=7130 GN=GST1 PE=2 SV=1</x:v>
      </x:c>
    </x:row>
    <x:row r="34">
      <x:c r="A34" s="32" t="str">
        <x:v>GST</x:v>
      </x:c>
      <x:c r="B34" s="32" t="str">
        <x:v>TRINITY_DN18158_c2_g1</x:v>
      </x:c>
      <x:c r="C34" s="37" t="n">
        <x:v>0</x:v>
      </x:c>
      <x:c r="D34" s="37" t="n">
        <x:v>0.834769</x:v>
      </x:c>
      <x:c r="E34" s="37" t="n">
        <x:v>0.279039</x:v>
      </x:c>
      <x:c r="F34" s="37" t="n">
        <x:v>0.092438</x:v>
      </x:c>
      <x:c r="G34" s="37" t="n">
        <x:v>0.697079</x:v>
      </x:c>
      <x:c r="H34" s="37" t="n">
        <x:v>0</x:v>
      </x:c>
      <x:c r="I34" s="37" t="n">
        <x:f>AVERAGE(C34:H34)</x:f>
        <x:v>0.31722083333333334</x:v>
      </x:c>
      <x:c r="J34" s="32" t="str">
        <x:v>provisional_HQ_domain</x:v>
      </x:c>
      <x:c r="K34" s="32" t="str"/>
    </x:row>
    <x:row r="35">
      <x:c r="A35" s="32" t="str">
        <x:v>GST</x:v>
      </x:c>
      <x:c r="B35" s="32" t="str">
        <x:v>TRINITY_DN18158_c2_g2</x:v>
      </x:c>
      <x:c r="C35" s="37" t="n">
        <x:v>0</x:v>
      </x:c>
      <x:c r="D35" s="37" t="n">
        <x:v>0</x:v>
      </x:c>
      <x:c r="E35" s="37" t="n">
        <x:v>0.01378</x:v>
      </x:c>
      <x:c r="F35" s="37" t="n">
        <x:v>0.483617</x:v>
      </x:c>
      <x:c r="G35" s="37" t="n">
        <x:v>3.760447</x:v>
      </x:c>
      <x:c r="H35" s="37" t="n">
        <x:v>0.048699</x:v>
      </x:c>
      <x:c r="I35" s="37" t="n">
        <x:f>AVERAGE(C35:H35)</x:f>
        <x:v>0.7177571666666668</x:v>
      </x:c>
      <x:c r="J35" s="32" t="str">
        <x:v>provisional_HQ_domain</x:v>
      </x:c>
      <x:c r="K35" s="32" t="str">
        <x:v>sp|P46430|GSTT1_MANSE Glutathione S-transferase 1 OS=Manduca sexta OX=7130 GN=GST1 PE=2 SV=1</x:v>
      </x:c>
    </x:row>
    <x:row r="36">
      <x:c r="A36" s="32" t="str">
        <x:v>GST</x:v>
      </x:c>
      <x:c r="B36" s="32" t="str">
        <x:v>TRINITY_DN1824_c0_g1</x:v>
      </x:c>
      <x:c r="C36" s="37" t="n">
        <x:v>6.71759</x:v>
      </x:c>
      <x:c r="D36" s="37" t="n">
        <x:v>7.577001</x:v>
      </x:c>
      <x:c r="E36" s="37" t="n">
        <x:v>5.120009</x:v>
      </x:c>
      <x:c r="F36" s="37" t="n">
        <x:v>3.943155</x:v>
      </x:c>
      <x:c r="G36" s="37" t="n">
        <x:v>3.10422</x:v>
      </x:c>
      <x:c r="H36" s="37" t="n">
        <x:v>5.958991</x:v>
      </x:c>
      <x:c r="I36" s="37" t="n">
        <x:f>AVERAGE(C36:H36)</x:f>
        <x:v>5.403494333333334</x:v>
      </x:c>
      <x:c r="J36" s="32" t="str">
        <x:v>provisional_HQ_domain</x:v>
      </x:c>
      <x:c r="K36" s="32" t="str">
        <x:v>sp|P46430|GSTT1_MANSE Glutathione S-transferase 1 OS=Manduca sexta OX=7130 GN=GST1 PE=2 SV=1</x:v>
      </x:c>
    </x:row>
    <x:row r="37">
      <x:c r="A37" s="32" t="str">
        <x:v>GST</x:v>
      </x:c>
      <x:c r="B37" s="32" t="str">
        <x:v>TRINITY_DN196_c0_g1</x:v>
      </x:c>
      <x:c r="C37" s="37" t="n">
        <x:v>20.937583</x:v>
      </x:c>
      <x:c r="D37" s="37" t="n">
        <x:v>75.340624</x:v>
      </x:c>
      <x:c r="E37" s="37" t="n">
        <x:v>13.497852</x:v>
      </x:c>
      <x:c r="F37" s="37" t="n">
        <x:v>29.757789</x:v>
      </x:c>
      <x:c r="G37" s="37" t="n">
        <x:v>30.634876</x:v>
      </x:c>
      <x:c r="H37" s="37" t="n">
        <x:v>35.825061</x:v>
      </x:c>
      <x:c r="I37" s="37" t="n">
        <x:f>AVERAGE(C37:H37)</x:f>
        <x:v>34.3322975</x:v>
      </x:c>
      <x:c r="J37" s="32" t="str">
        <x:v>provisional_HQ_domain</x:v>
      </x:c>
      <x:c r="K37" s="32" t="str">
        <x:v>sp|P46429|GST2_MANSE Glutathione S-transferase 2 OS=Manduca sexta OX=7130 GN=GST2 PE=2 SV=1</x:v>
      </x:c>
    </x:row>
    <x:row r="38">
      <x:c r="A38" s="32" t="str">
        <x:v>GST</x:v>
      </x:c>
      <x:c r="B38" s="32" t="str">
        <x:v>TRINITY_DN196_c1_g2</x:v>
      </x:c>
      <x:c r="C38" s="37" t="n">
        <x:v>33.620211999999995</x:v>
      </x:c>
      <x:c r="D38" s="37" t="n">
        <x:v>54.670605</x:v>
      </x:c>
      <x:c r="E38" s="37" t="n">
        <x:v>31.227857999999998</x:v>
      </x:c>
      <x:c r="F38" s="37" t="n">
        <x:v>36.779561</x:v>
      </x:c>
      <x:c r="G38" s="37" t="n">
        <x:v>30.862761</x:v>
      </x:c>
      <x:c r="H38" s="37" t="n">
        <x:v>27.502089</x:v>
      </x:c>
      <x:c r="I38" s="37" t="n">
        <x:f>AVERAGE(C38:H38)</x:f>
        <x:v>35.777181000000006</x:v>
      </x:c>
      <x:c r="J38" s="32" t="str">
        <x:v>provisional_HQ_domain</x:v>
      </x:c>
      <x:c r="K38" s="32" t="str">
        <x:v>sp|P46429|GST2_MANSE Glutathione S-transferase 2 OS=Manduca sexta OX=7130 GN=GST2 PE=2 SV=1</x:v>
      </x:c>
    </x:row>
    <x:row r="39">
      <x:c r="A39" s="32" t="str">
        <x:v>GST</x:v>
      </x:c>
      <x:c r="B39" s="32" t="str">
        <x:v>TRINITY_DN196_c6_g1</x:v>
      </x:c>
      <x:c r="C39" s="37" t="n">
        <x:v>214.314858</x:v>
      </x:c>
      <x:c r="D39" s="37" t="n">
        <x:v>314.133576</x:v>
      </x:c>
      <x:c r="E39" s="37" t="n">
        <x:v>39.488433</x:v>
      </x:c>
      <x:c r="F39" s="37" t="n">
        <x:v>153.974637</x:v>
      </x:c>
      <x:c r="G39" s="37" t="n">
        <x:v>225.145662</x:v>
      </x:c>
      <x:c r="H39" s="37" t="n">
        <x:v>221.947356</x:v>
      </x:c>
      <x:c r="I39" s="37" t="n">
        <x:f>AVERAGE(C39:H39)</x:f>
        <x:v>194.83408700000004</x:v>
      </x:c>
      <x:c r="J39" s="32" t="str">
        <x:v>provisional_HQ_domain</x:v>
      </x:c>
      <x:c r="K39" s="32" t="str">
        <x:v>sp|P46429|GST2_MANSE Glutathione S-transferase 2 OS=Manduca sexta OX=7130 GN=GST2 PE=2 SV=1</x:v>
      </x:c>
    </x:row>
    <x:row r="40">
      <x:c r="A40" s="32" t="str">
        <x:v>GST</x:v>
      </x:c>
      <x:c r="B40" s="32" t="str">
        <x:v>TRINITY_DN1970_c0_g1</x:v>
      </x:c>
      <x:c r="C40" s="37" t="n">
        <x:v>5.094472</x:v>
      </x:c>
      <x:c r="D40" s="37" t="n">
        <x:v>11.616484999999999</x:v>
      </x:c>
      <x:c r="E40" s="37" t="n">
        <x:v>5.222049</x:v>
      </x:c>
      <x:c r="F40" s="37" t="n">
        <x:v>23.655359999999998</x:v>
      </x:c>
      <x:c r="G40" s="37" t="n">
        <x:v>8.541786</x:v>
      </x:c>
      <x:c r="H40" s="37" t="n">
        <x:v>9.035599</x:v>
      </x:c>
      <x:c r="I40" s="37" t="n">
        <x:f>AVERAGE(C40:H40)</x:f>
        <x:v>10.527625166666665</x:v>
      </x:c>
      <x:c r="J40" s="32" t="str">
        <x:v>provisional_HQ_domain</x:v>
      </x:c>
      <x:c r="K40" s="32" t="str">
        <x:v>sp|Q9VSL3|SEPIA_DROME Pyrimidodiazepine synthase OS=Drosophila melanogaster OX=7227 GN=se PE=1 SV=1</x:v>
      </x:c>
    </x:row>
    <x:row r="41">
      <x:c r="A41" s="32" t="str">
        <x:v>GST</x:v>
      </x:c>
      <x:c r="B41" s="32" t="str">
        <x:v>TRINITY_DN2000_c0_g1</x:v>
      </x:c>
      <x:c r="C41" s="37" t="n">
        <x:v>2.690121</x:v>
      </x:c>
      <x:c r="D41" s="37" t="n">
        <x:v>3.440723</x:v>
      </x:c>
      <x:c r="E41" s="37" t="n">
        <x:v>2.542366</x:v>
      </x:c>
      <x:c r="F41" s="37" t="n">
        <x:v>3.552317</x:v>
      </x:c>
      <x:c r="G41" s="37" t="n">
        <x:v>3.710394</x:v>
      </x:c>
      <x:c r="H41" s="37" t="n">
        <x:v>4.959569</x:v>
      </x:c>
      <x:c r="I41" s="37" t="n">
        <x:f>AVERAGE(C41:H41)</x:f>
        <x:v>3.482581666666667</x:v>
      </x:c>
      <x:c r="J41" s="32" t="str">
        <x:v>review</x:v>
      </x:c>
      <x:c r="K41" s="32" t="str">
        <x:v>sp|Q9N0A4|PGES2_MACFA Prostaglandin E synthase 2 OS=Macaca fascicularis OX=9541 GN=PTGES2 PE=1 SV=1</x:v>
      </x:c>
    </x:row>
    <x:row r="42">
      <x:c r="A42" s="32" t="str">
        <x:v>GST</x:v>
      </x:c>
      <x:c r="B42" s="32" t="str">
        <x:v>TRINITY_DN2379_c0_g3</x:v>
      </x:c>
      <x:c r="C42" s="37" t="n">
        <x:v>7.154753</x:v>
      </x:c>
      <x:c r="D42" s="37" t="n">
        <x:v>7.283024999999999</x:v>
      </x:c>
      <x:c r="E42" s="37" t="n">
        <x:v>5.475772</x:v>
      </x:c>
      <x:c r="F42" s="37" t="n">
        <x:v>10.123603000000001</x:v>
      </x:c>
      <x:c r="G42" s="37" t="n">
        <x:v>10.791783</x:v>
      </x:c>
      <x:c r="H42" s="37" t="n">
        <x:v>8.334092</x:v>
      </x:c>
      <x:c r="I42" s="37" t="n">
        <x:f>AVERAGE(C42:H42)</x:f>
        <x:v>8.193838000000001</x:v>
      </x:c>
      <x:c r="J42" s="32" t="str">
        <x:v>provisional_HQ_domain</x:v>
      </x:c>
      <x:c r="K42" s="32" t="str">
        <x:v>sp|O43324|MCA3_HUMAN Eukaryotic translation elongation factor 1 epsilon-1 OS=Homo sapiens OX=9606 GN=EEF1E1 PE=1 SV=1</x:v>
      </x:c>
    </x:row>
    <x:row r="43">
      <x:c r="A43" s="32" t="str">
        <x:v>GST</x:v>
      </x:c>
      <x:c r="B43" s="32" t="str">
        <x:v>TRINITY_DN2529_c0_g1</x:v>
      </x:c>
      <x:c r="C43" s="37" t="n">
        <x:v>3.54014</x:v>
      </x:c>
      <x:c r="D43" s="37" t="n">
        <x:v>4.39028</x:v>
      </x:c>
      <x:c r="E43" s="37" t="n">
        <x:v>2.882027</x:v>
      </x:c>
      <x:c r="F43" s="37" t="n">
        <x:v>3.546255</x:v>
      </x:c>
      <x:c r="G43" s="37" t="n">
        <x:v>3.675426</x:v>
      </x:c>
      <x:c r="H43" s="37" t="n">
        <x:v>4.953489</x:v>
      </x:c>
      <x:c r="I43" s="37" t="n">
        <x:f>AVERAGE(C43:H43)</x:f>
        <x:v>3.8312695</x:v>
      </x:c>
      <x:c r="J43" s="32" t="str">
        <x:v>review</x:v>
      </x:c>
      <x:c r="K43" s="32" t="str">
        <x:v>sp|Q2L969|MTX2_PIG Metaxin-2 OS=Sus scrofa OX=9823 GN=MTX2 PE=2 SV=1</x:v>
      </x:c>
    </x:row>
    <x:row r="44">
      <x:c r="A44" s="32" t="str">
        <x:v>UGT</x:v>
      </x:c>
      <x:c r="B44" s="32" t="str">
        <x:v>TRINITY_DN11717_c0_g2</x:v>
      </x:c>
      <x:c r="C44" s="37" t="n">
        <x:v>1.033641</x:v>
      </x:c>
      <x:c r="D44" s="37" t="n">
        <x:v>1.061489</x:v>
      </x:c>
      <x:c r="E44" s="37" t="n">
        <x:v>5.289692</x:v>
      </x:c>
      <x:c r="F44" s="37" t="n">
        <x:v>2.296463</x:v>
      </x:c>
      <x:c r="G44" s="37" t="n">
        <x:v>1.016772</x:v>
      </x:c>
      <x:c r="H44" s="37" t="n">
        <x:v>0.901815</x:v>
      </x:c>
      <x:c r="I44" s="37" t="n">
        <x:f>AVERAGE(C44:H44)</x:f>
        <x:v>1.9333119999999997</x:v>
      </x:c>
      <x:c r="J44" s="32" t="str">
        <x:v>provisional_HQ_domain</x:v>
      </x:c>
      <x:c r="K44" s="32" t="str">
        <x:v>sp|A0A291PQF1|UGT5_DACCO UDP-glycosyltransferase UGT5 OS=Dactylopius coccus OX=765876 GN=UGT5 PE=1 SV=1</x:v>
      </x:c>
    </x:row>
    <x:row r="45">
      <x:c r="A45" s="32" t="str">
        <x:v>UGT</x:v>
      </x:c>
      <x:c r="B45" s="32" t="str">
        <x:v>TRINITY_DN12106_c1_g5</x:v>
      </x:c>
      <x:c r="C45" s="37" t="n">
        <x:v>0.123093</x:v>
      </x:c>
      <x:c r="D45" s="37" t="n">
        <x:v>0.154383</x:v>
      </x:c>
      <x:c r="E45" s="37" t="n">
        <x:v>0.314569</x:v>
      </x:c>
      <x:c r="F45" s="37" t="n">
        <x:v>0</x:v>
      </x:c>
      <x:c r="G45" s="37" t="n">
        <x:v>0</x:v>
      </x:c>
      <x:c r="H45" s="37" t="n">
        <x:v>0</x:v>
      </x:c>
      <x:c r="I45" s="37" t="n">
        <x:f>AVERAGE(C45:H45)</x:f>
        <x:v>0.09867416666666666</x:v>
      </x:c>
      <x:c r="J45" s="32" t="str">
        <x:v>provisional_HQ_domain</x:v>
      </x:c>
      <x:c r="K45" s="32" t="str">
        <x:v>sp|A0A291PQF1|UGT5_DACCO UDP-glycosyltransferase UGT5 OS=Dactylopius coccus OX=765876 GN=UGT5 PE=1 SV=1</x:v>
      </x:c>
    </x:row>
    <x:row r="46">
      <x:c r="A46" s="32" t="str">
        <x:v>UGT</x:v>
      </x:c>
      <x:c r="B46" s="32" t="str">
        <x:v>TRINITY_DN1342_c0_g2</x:v>
      </x:c>
      <x:c r="C46" s="37" t="n">
        <x:v>2.363133</x:v>
      </x:c>
      <x:c r="D46" s="37" t="n">
        <x:v>4.55262</x:v>
      </x:c>
      <x:c r="E46" s="37" t="n">
        <x:v>2.80302</x:v>
      </x:c>
      <x:c r="F46" s="37" t="n">
        <x:v>3.7963739999999997</x:v>
      </x:c>
      <x:c r="G46" s="37" t="n">
        <x:v>2.714908</x:v>
      </x:c>
      <x:c r="H46" s="37" t="n">
        <x:v>3.186201</x:v>
      </x:c>
      <x:c r="I46" s="37" t="n">
        <x:f>AVERAGE(C46:H46)</x:f>
        <x:v>3.2360426666666666</x:v>
      </x:c>
      <x:c r="J46" s="32" t="str">
        <x:v>review</x:v>
      </x:c>
      <x:c r="K46" s="32" t="str">
        <x:v>sp|Q09363|SQV8_CAEEL Galactosylgalactosylxylosylprotein 3-beta-glucuronosyltransferase sqv-8 OS=Caenorhabditis elegans OX=6239 GN=sqv-8 PE=1 SV=1</x:v>
      </x:c>
    </x:row>
    <x:row r="47">
      <x:c r="A47" s="32" t="str">
        <x:v>UGT</x:v>
      </x:c>
      <x:c r="B47" s="32" t="str">
        <x:v>TRINITY_DN13580_c0_g1</x:v>
      </x:c>
      <x:c r="C47" s="37" t="n">
        <x:v>0.129683</x:v>
      </x:c>
      <x:c r="D47" s="37" t="n">
        <x:v>0.217209</x:v>
      </x:c>
      <x:c r="E47" s="37" t="n">
        <x:v>0.175213</x:v>
      </x:c>
      <x:c r="F47" s="37" t="n">
        <x:v>0.214099</x:v>
      </x:c>
      <x:c r="G47" s="37" t="n">
        <x:v>0.062315</x:v>
      </x:c>
      <x:c r="H47" s="37" t="n">
        <x:v>0.115995</x:v>
      </x:c>
      <x:c r="I47" s="37" t="n">
        <x:f>AVERAGE(C47:H47)</x:f>
        <x:v>0.152419</x:v>
      </x:c>
      <x:c r="J47" s="32" t="str">
        <x:v>review</x:v>
      </x:c>
      <x:c r="K47" s="32" t="str">
        <x:v>sp|Q9VLA1|B3G2S_DROME Galactosylgalactosylxylosylprotein 3-beta-glucuronosyltransferase S OS=Drosophila melanogaster OX=7227 GN=GlcAT-S PE=1 SV=2</x:v>
      </x:c>
    </x:row>
    <x:row r="48">
      <x:c r="A48" s="32" t="str">
        <x:v>UGT</x:v>
      </x:c>
      <x:c r="B48" s="32" t="str">
        <x:v>TRINITY_DN16531_c0_g1</x:v>
      </x:c>
      <x:c r="C48" s="37" t="n">
        <x:v>0.100847</x:v>
      </x:c>
      <x:c r="D48" s="37" t="n">
        <x:v>0.7889349999999999</x:v>
      </x:c>
      <x:c r="E48" s="37" t="n">
        <x:v>0.348314</x:v>
      </x:c>
      <x:c r="F48" s="37" t="n">
        <x:v>0.382125</x:v>
      </x:c>
      <x:c r="G48" s="37" t="n">
        <x:v>0.22200199999999998</x:v>
      </x:c>
      <x:c r="H48" s="37" t="n">
        <x:v>0.29913100000000004</x:v>
      </x:c>
      <x:c r="I48" s="37" t="n">
        <x:f>AVERAGE(C48:H48)</x:f>
        <x:v>0.35689233333333337</x:v>
      </x:c>
      <x:c r="J48" s="32" t="str">
        <x:v>review</x:v>
      </x:c>
      <x:c r="K48" s="32" t="str">
        <x:v>sp|Q7Q021|GLT25_ANOGA Glycosyltransferase 25 family member OS=Anopheles gambiae OX=7165 GN=AGAP012208 PE=3 SV=4</x:v>
      </x:c>
    </x:row>
    <x:row r="49">
      <x:c r="A49" s="32" t="str">
        <x:v>UGT</x:v>
      </x:c>
      <x:c r="B49" s="32" t="str">
        <x:v>TRINITY_DN1687_c0_g1</x:v>
      </x:c>
      <x:c r="C49" s="37" t="n">
        <x:v>6.278254</x:v>
      </x:c>
      <x:c r="D49" s="37" t="n">
        <x:v>8.758454</x:v>
      </x:c>
      <x:c r="E49" s="37" t="n">
        <x:v>5.843915</x:v>
      </x:c>
      <x:c r="F49" s="37" t="n">
        <x:v>10.933138</x:v>
      </x:c>
      <x:c r="G49" s="37" t="n">
        <x:v>8.49745</x:v>
      </x:c>
      <x:c r="H49" s="37" t="n">
        <x:v>10.407913</x:v>
      </x:c>
      <x:c r="I49" s="37" t="n">
        <x:f>AVERAGE(C49:H49)</x:f>
        <x:v>8.453187333333334</x:v>
      </x:c>
      <x:c r="J49" s="32" t="str">
        <x:v>review</x:v>
      </x:c>
      <x:c r="K49" s="32" t="str">
        <x:v>sp|Q9CX34|SGT1_MOUSE Protein SGT1 homolog OS=Mus musculus OX=10090 GN=Sugt1 PE=1 SV=3</x:v>
      </x:c>
    </x:row>
    <x:row r="50">
      <x:c r="A50" s="32" t="str">
        <x:v>UGT</x:v>
      </x:c>
      <x:c r="B50" s="32" t="str">
        <x:v>TRINITY_DN1689_c0_g1</x:v>
      </x:c>
      <x:c r="C50" s="37" t="n">
        <x:v>7.946454</x:v>
      </x:c>
      <x:c r="D50" s="37" t="n">
        <x:v>25.276881000000003</x:v>
      </x:c>
      <x:c r="E50" s="37" t="n">
        <x:v>31.249921</x:v>
      </x:c>
      <x:c r="F50" s="37" t="n">
        <x:v>19.923954000000002</x:v>
      </x:c>
      <x:c r="G50" s="37" t="n">
        <x:v>35.437479999999994</x:v>
      </x:c>
      <x:c r="H50" s="37" t="n">
        <x:v>28.001607</x:v>
      </x:c>
      <x:c r="I50" s="37" t="n">
        <x:f>AVERAGE(C50:H50)</x:f>
        <x:v>24.639382833333332</x:v>
      </x:c>
      <x:c r="J50" s="32" t="str">
        <x:v>provisional_HQ_domain</x:v>
      </x:c>
      <x:c r="K50" s="32" t="str">
        <x:v>sp|A0A291PQF1|UGT5_DACCO UDP-glycosyltransferase UGT5 OS=Dactylopius coccus OX=765876 GN=UGT5 PE=1 SV=1</x:v>
      </x:c>
    </x:row>
    <x:row r="51">
      <x:c r="A51" s="32" t="str">
        <x:v>UGT</x:v>
      </x:c>
      <x:c r="B51" s="32" t="str">
        <x:v>TRINITY_DN1689_c0_g2</x:v>
      </x:c>
      <x:c r="C51" s="37" t="n">
        <x:v>2.129996</x:v>
      </x:c>
      <x:c r="D51" s="37" t="n">
        <x:v>5.287048</x:v>
      </x:c>
      <x:c r="E51" s="37" t="n">
        <x:v>2.54413</x:v>
      </x:c>
      <x:c r="F51" s="37" t="n">
        <x:v>5.08407</x:v>
      </x:c>
      <x:c r="G51" s="37" t="n">
        <x:v>7.978708</x:v>
      </x:c>
      <x:c r="H51" s="37" t="n">
        <x:v>3.531019</x:v>
      </x:c>
      <x:c r="I51" s="37" t="n">
        <x:f>AVERAGE(C51:H51)</x:f>
        <x:v>4.425828500000001</x:v>
      </x:c>
      <x:c r="J51" s="32" t="str">
        <x:v>provisional_HQ_domain</x:v>
      </x:c>
      <x:c r="K51" s="32" t="str">
        <x:v>sp|A0A291PQH4|UGT2_DACCO UDP-glucosyltransferase 2 OS=Dactylopius coccus OX=765876 GN=UTG2 PE=1 SV=1</x:v>
      </x:c>
    </x:row>
    <x:row r="52">
      <x:c r="A52" s="32" t="str">
        <x:v>UGT</x:v>
      </x:c>
      <x:c r="B52" s="32" t="str">
        <x:v>TRINITY_DN1689_c1_g1</x:v>
      </x:c>
      <x:c r="C52" s="37" t="n">
        <x:v>3.755762</x:v>
      </x:c>
      <x:c r="D52" s="37" t="n">
        <x:v>34.745565</x:v>
      </x:c>
      <x:c r="E52" s="37" t="n">
        <x:v>98.791162</x:v>
      </x:c>
      <x:c r="F52" s="37" t="n">
        <x:v>11.957431</x:v>
      </x:c>
      <x:c r="G52" s="37" t="n">
        <x:v>57.602584</x:v>
      </x:c>
      <x:c r="H52" s="37" t="n">
        <x:v>21.360155</x:v>
      </x:c>
      <x:c r="I52" s="37" t="n">
        <x:f>AVERAGE(C52:H52)</x:f>
        <x:v>38.03544316666666</x:v>
      </x:c>
      <x:c r="J52" s="32" t="str">
        <x:v>provisional_HQ_domain</x:v>
      </x:c>
      <x:c r="K52" s="32" t="str">
        <x:v>sp|A0A291PQH4|UGT2_DACCO UDP-glucosyltransferase 2 OS=Dactylopius coccus OX=765876 GN=UTG2 PE=1 SV=1</x:v>
      </x:c>
    </x:row>
    <x:row r="53">
      <x:c r="A53" s="32" t="str">
        <x:v>UGT</x:v>
      </x:c>
      <x:c r="B53" s="32" t="str">
        <x:v>TRINITY_DN17113_c0_g1</x:v>
      </x:c>
      <x:c r="C53" s="37" t="n">
        <x:v>9.654888</x:v>
      </x:c>
      <x:c r="D53" s="37" t="n">
        <x:v>29.005478999999998</x:v>
      </x:c>
      <x:c r="E53" s="37" t="n">
        <x:v>2.489756</x:v>
      </x:c>
      <x:c r="F53" s="37" t="n">
        <x:v>12.190077</x:v>
      </x:c>
      <x:c r="G53" s="37" t="n">
        <x:v>9.98659</x:v>
      </x:c>
      <x:c r="H53" s="37" t="n">
        <x:v>5.387942</x:v>
      </x:c>
      <x:c r="I53" s="37" t="n">
        <x:f>AVERAGE(C53:H53)</x:f>
        <x:v>11.452455333333333</x:v>
      </x:c>
      <x:c r="J53" s="32" t="str">
        <x:v>provisional_HQ_domain</x:v>
      </x:c>
      <x:c r="K53" s="32" t="str">
        <x:v>sp|A0A291PQF1|UGT5_DACCO UDP-glycosyltransferase UGT5 OS=Dactylopius coccus OX=765876 GN=UGT5 PE=1 SV=1</x:v>
      </x:c>
    </x:row>
    <x:row r="54">
      <x:c r="A54" s="32" t="str">
        <x:v>UGT</x:v>
      </x:c>
      <x:c r="B54" s="32" t="str">
        <x:v>TRINITY_DN18424_c0_g1</x:v>
      </x:c>
      <x:c r="C54" s="37" t="n">
        <x:v>0.368825</x:v>
      </x:c>
      <x:c r="D54" s="37" t="n">
        <x:v>0.093295</x:v>
      </x:c>
      <x:c r="E54" s="37" t="n">
        <x:v>0.182206</x:v>
      </x:c>
      <x:c r="F54" s="37" t="n">
        <x:v>0.083295</x:v>
      </x:c>
      <x:c r="G54" s="37" t="n">
        <x:v>0.255039</x:v>
      </x:c>
      <x:c r="H54" s="37" t="n">
        <x:v>0.277485</x:v>
      </x:c>
      <x:c r="I54" s="37" t="n">
        <x:f>AVERAGE(C54:H54)</x:f>
        <x:v>0.21002416666666668</x:v>
      </x:c>
      <x:c r="J54" s="32" t="str">
        <x:v>provisional_HQ_domain</x:v>
      </x:c>
      <x:c r="K54" s="32" t="str">
        <x:v>sp|A0A291PQF1|UGT5_DACCO UDP-glycosyltransferase UGT5 OS=Dactylopius coccus OX=765876 GN=UGT5 PE=1 SV=1</x:v>
      </x:c>
    </x:row>
    <x:row r="55">
      <x:c r="A55" s="32" t="str">
        <x:v>UGT</x:v>
      </x:c>
      <x:c r="B55" s="32" t="str">
        <x:v>TRINITY_DN20280_c0_g1</x:v>
      </x:c>
      <x:c r="C55" s="37" t="n">
        <x:v>0.059255</x:v>
      </x:c>
      <x:c r="D55" s="37" t="n">
        <x:v>0.635531</x:v>
      </x:c>
      <x:c r="E55" s="37" t="n">
        <x:v>0.786593</x:v>
      </x:c>
      <x:c r="F55" s="37" t="n">
        <x:v>1.558065</x:v>
      </x:c>
      <x:c r="G55" s="37" t="n">
        <x:v>2.007727</x:v>
      </x:c>
      <x:c r="H55" s="37" t="n">
        <x:v>0.523187</x:v>
      </x:c>
      <x:c r="I55" s="37" t="n">
        <x:f>AVERAGE(C55:H55)</x:f>
        <x:v>0.9283930000000001</x:v>
      </x:c>
      <x:c r="J55" s="32" t="str">
        <x:v>provisional_HQ_domain</x:v>
      </x:c>
      <x:c r="K55" s="32" t="str">
        <x:v>sp|Q9GLD9|UDB33_MACMU UDP-glucuronosyltransferase 2B33 OS=Macaca mulatta OX=9544 GN=UGT2B33 PE=1 SV=1</x:v>
      </x:c>
    </x:row>
    <x:row r="56">
      <x:c r="A56" s="32" t="str">
        <x:v>UGT</x:v>
      </x:c>
      <x:c r="B56" s="32" t="str">
        <x:v>TRINITY_DN20280_c1_g1</x:v>
      </x:c>
      <x:c r="C56" s="37" t="n">
        <x:v>5.658831</x:v>
      </x:c>
      <x:c r="D56" s="37" t="n">
        <x:v>9.306498000000001</x:v>
      </x:c>
      <x:c r="E56" s="37" t="n">
        <x:v>4.218475</x:v>
      </x:c>
      <x:c r="F56" s="37" t="n">
        <x:v>3.370591</x:v>
      </x:c>
      <x:c r="G56" s="37" t="n">
        <x:v>2.78133</x:v>
      </x:c>
      <x:c r="H56" s="37" t="n">
        <x:v>1.9501959999999998</x:v>
      </x:c>
      <x:c r="I56" s="37" t="n">
        <x:f>AVERAGE(C56:H56)</x:f>
        <x:v>4.5476535</x:v>
      </x:c>
      <x:c r="J56" s="32" t="str">
        <x:v>provisional_HQ_domain</x:v>
      </x:c>
      <x:c r="K56" s="32" t="str">
        <x:v>sp|Q9GLD9|UDB33_MACMU UDP-glucuronosyltransferase 2B33 OS=Macaca mulatta OX=9544 GN=UGT2B33 PE=1 SV=1</x:v>
      </x:c>
    </x:row>
    <x:row r="57">
      <x:c r="A57" s="32" t="str">
        <x:v>UGT</x:v>
      </x:c>
      <x:c r="B57" s="32" t="str">
        <x:v>TRINITY_DN21024_c0_g1</x:v>
      </x:c>
      <x:c r="C57" s="37" t="n">
        <x:v>0.21420499999999998</x:v>
      </x:c>
      <x:c r="D57" s="37" t="n">
        <x:v>0.121119</x:v>
      </x:c>
      <x:c r="E57" s="37" t="n">
        <x:v>0.037355</x:v>
      </x:c>
      <x:c r="F57" s="37" t="n">
        <x:v>0.281326</x:v>
      </x:c>
      <x:c r="G57" s="37" t="n">
        <x:v>0.056718</x:v>
      </x:c>
      <x:c r="H57" s="37" t="n">
        <x:v>0.096835</x:v>
      </x:c>
      <x:c r="I57" s="37" t="n">
        <x:f>AVERAGE(C57:H57)</x:f>
        <x:v>0.134593</x:v>
      </x:c>
      <x:c r="J57" s="32" t="str">
        <x:v>review</x:v>
      </x:c>
      <x:c r="K57" s="32" t="str">
        <x:v>sp|Q5EA01|B4GA1_BOVIN Beta-1,4-glucuronyltransferase 1 OS=Bos taurus OX=9913 GN=B4GAT1 PE=2 SV=2</x:v>
      </x:c>
    </x:row>
    <x:row r="58">
      <x:c r="A58" s="32" t="str">
        <x:v>UGT</x:v>
      </x:c>
      <x:c r="B58" s="32" t="str">
        <x:v>TRINITY_DN2328_c0_g1</x:v>
      </x:c>
      <x:c r="C58" s="37" t="n">
        <x:v>1.776133</x:v>
      </x:c>
      <x:c r="D58" s="37" t="n">
        <x:v>3.1264279999999998</x:v>
      </x:c>
      <x:c r="E58" s="37" t="n">
        <x:v>1.2443469999999999</x:v>
      </x:c>
      <x:c r="F58" s="37" t="n">
        <x:v>3.89707</x:v>
      </x:c>
      <x:c r="G58" s="37" t="n">
        <x:v>5.439541</x:v>
      </x:c>
      <x:c r="H58" s="37" t="n">
        <x:v>4.151612</x:v>
      </x:c>
      <x:c r="I58" s="37" t="n">
        <x:f>AVERAGE(C58:H58)</x:f>
        <x:v>3.2725218333333337</x:v>
      </x:c>
      <x:c r="J58" s="32" t="str">
        <x:v>provisional_HQ_domain</x:v>
      </x:c>
      <x:c r="K58" s="32" t="str">
        <x:v>sp|A0A291PQH4|UGT2_DACCO UDP-glucosyltransferase 2 OS=Dactylopius coccus OX=765876 GN=UTG2 PE=1 SV=1</x:v>
      </x:c>
    </x:row>
    <x:row r="59">
      <x:c r="A59" s="32" t="str">
        <x:v>UGT</x:v>
      </x:c>
      <x:c r="B59" s="32" t="str">
        <x:v>TRINITY_DN2332_c0_g1</x:v>
      </x:c>
      <x:c r="C59" s="37" t="n">
        <x:v>0.37447199999999997</x:v>
      </x:c>
      <x:c r="D59" s="37" t="n">
        <x:v>0.875033</x:v>
      </x:c>
      <x:c r="E59" s="37" t="n">
        <x:v>1.089035</x:v>
      </x:c>
      <x:c r="F59" s="37" t="n">
        <x:v>2.1118669999999997</x:v>
      </x:c>
      <x:c r="G59" s="37" t="n">
        <x:v>1.700726</x:v>
      </x:c>
      <x:c r="H59" s="37" t="n">
        <x:v>1.204294</x:v>
      </x:c>
      <x:c r="I59" s="37" t="n">
        <x:f>AVERAGE(C59:H59)</x:f>
        <x:v>1.2259045</x:v>
      </x:c>
      <x:c r="J59" s="32" t="str">
        <x:v>provisional_HQ_domain</x:v>
      </x:c>
      <x:c r="K59" s="32" t="str">
        <x:v>sp|A0A291PQH4|UGT2_DACCO UDP-glucosyltransferase 2 OS=Dactylopius coccus OX=765876 GN=UTG2 PE=1 SV=1</x:v>
      </x:c>
    </x:row>
    <x:row r="60">
      <x:c r="A60" s="32" t="str">
        <x:v>UGT</x:v>
      </x:c>
      <x:c r="B60" s="32" t="str">
        <x:v>TRINITY_DN243_c0_g1</x:v>
      </x:c>
      <x:c r="C60" s="37" t="n">
        <x:v>7.2975710000000005</x:v>
      </x:c>
      <x:c r="D60" s="37" t="n">
        <x:v>15.196076999999999</x:v>
      </x:c>
      <x:c r="E60" s="37" t="n">
        <x:v>7.986296</x:v>
      </x:c>
      <x:c r="F60" s="37" t="n">
        <x:v>11.984983</x:v>
      </x:c>
      <x:c r="G60" s="37" t="n">
        <x:v>10.213438</x:v>
      </x:c>
      <x:c r="H60" s="37" t="n">
        <x:v>6.244917999999999</x:v>
      </x:c>
      <x:c r="I60" s="37" t="n">
        <x:f>AVERAGE(C60:H60)</x:f>
        <x:v>9.820547166666666</x:v>
      </x:c>
      <x:c r="J60" s="32" t="str">
        <x:v>provisional_HQ_domain</x:v>
      </x:c>
      <x:c r="K60" s="32" t="str">
        <x:v>sp|A0A291PQH4|UGT2_DACCO UDP-glucosyltransferase 2 OS=Dactylopius coccus OX=765876 GN=UTG2 PE=1 SV=1</x:v>
      </x:c>
    </x:row>
    <x:row r="61">
      <x:c r="A61" s="32" t="str">
        <x:v>UGT</x:v>
      </x:c>
      <x:c r="B61" s="32" t="str">
        <x:v>TRINITY_DN28473_c0_g1</x:v>
      </x:c>
      <x:c r="C61" s="37" t="n">
        <x:v>18.415325000000003</x:v>
      </x:c>
      <x:c r="D61" s="37" t="n">
        <x:v>23.091063000000002</x:v>
      </x:c>
      <x:c r="E61" s="37" t="n">
        <x:v>10.722594</x:v>
      </x:c>
      <x:c r="F61" s="37" t="n">
        <x:v>27.299452000000002</x:v>
      </x:c>
      <x:c r="G61" s="37" t="n">
        <x:v>32.262144</x:v>
      </x:c>
      <x:c r="H61" s="37" t="n">
        <x:v>31.388655</x:v>
      </x:c>
      <x:c r="I61" s="37" t="n">
        <x:f>AVERAGE(C61:H61)</x:f>
        <x:v>23.863205500000003</x:v>
      </x:c>
      <x:c r="J61" s="32" t="str">
        <x:v>review</x:v>
      </x:c>
      <x:c r="K61" s="32" t="str">
        <x:v>sp|Q24319|OST48_DROME Dolichyl-diphosphooligosaccharide--protein glycosyltransferase 48 kDa subunit OS=Drosophila melanogaster OX=7227 GN=Ost48 PE=2 SV=2</x:v>
      </x:c>
    </x:row>
    <x:row r="62">
      <x:c r="A62" s="32" t="str">
        <x:v>UGT</x:v>
      </x:c>
      <x:c r="B62" s="32" t="str">
        <x:v>TRINITY_DN3225_c0_g1</x:v>
      </x:c>
      <x:c r="C62" s="37" t="n">
        <x:v>6.0947189999999996</x:v>
      </x:c>
      <x:c r="D62" s="37" t="n">
        <x:v>8.354085</x:v>
      </x:c>
      <x:c r="E62" s="37" t="n">
        <x:v>3.221646</x:v>
      </x:c>
      <x:c r="F62" s="37" t="n">
        <x:v>11.565831000000001</x:v>
      </x:c>
      <x:c r="G62" s="37" t="n">
        <x:v>12.629284</x:v>
      </x:c>
      <x:c r="H62" s="37" t="n">
        <x:v>14.98264</x:v>
      </x:c>
      <x:c r="I62" s="37" t="n">
        <x:f>AVERAGE(C62:H62)</x:f>
        <x:v>9.474700833333332</x:v>
      </x:c>
      <x:c r="J62" s="32" t="str">
        <x:v>review</x:v>
      </x:c>
      <x:c r="K62" s="32" t="str">
        <x:v>sp|Q3TDQ1|STT3B_MOUSE Dolichyl-diphosphooligosaccharide--protein glycosyltransferase subunit STT3B OS=Mus musculus OX=10090 GN=Stt3b PE=1 SV=2</x:v>
      </x:c>
    </x:row>
    <x:row r="63">
      <x:c r="A63" s="32" t="str">
        <x:v>UGT</x:v>
      </x:c>
      <x:c r="B63" s="32" t="str">
        <x:v>TRINITY_DN3269_c0_g1</x:v>
      </x:c>
      <x:c r="C63" s="37" t="n">
        <x:v>0.827584</x:v>
      </x:c>
      <x:c r="D63" s="37" t="n">
        <x:v>4.857129</x:v>
      </x:c>
      <x:c r="E63" s="37" t="n">
        <x:v>2.404615</x:v>
      </x:c>
      <x:c r="F63" s="37" t="n">
        <x:v>5.004505</x:v>
      </x:c>
      <x:c r="G63" s="37" t="n">
        <x:v>3.596346</x:v>
      </x:c>
      <x:c r="H63" s="37" t="n">
        <x:v>2.7421499999999996</x:v>
      </x:c>
      <x:c r="I63" s="37" t="n">
        <x:f>AVERAGE(C63:H63)</x:f>
        <x:v>3.2387215</x:v>
      </x:c>
      <x:c r="J63" s="32" t="str">
        <x:v>provisional_HQ_domain</x:v>
      </x:c>
      <x:c r="K63" s="32" t="str">
        <x:v>sp|A0A291PQH4|UGT2_DACCO UDP-glucosyltransferase 2 OS=Dactylopius coccus OX=765876 GN=UTG2 PE=1 SV=1</x:v>
      </x:c>
    </x:row>
    <x:row r="64">
      <x:c r="A64" s="32" t="str">
        <x:v>UGT</x:v>
      </x:c>
      <x:c r="B64" s="32" t="str">
        <x:v>TRINITY_DN37939_c0_g1</x:v>
      </x:c>
      <x:c r="C64" s="37" t="n">
        <x:v>0</x:v>
      </x:c>
      <x:c r="D64" s="37" t="n">
        <x:v>0.11529</x:v>
      </x:c>
      <x:c r="E64" s="37" t="n">
        <x:v>0</x:v>
      </x:c>
      <x:c r="F64" s="37" t="n">
        <x:v>0.584784</x:v>
      </x:c>
      <x:c r="G64" s="37" t="n">
        <x:v>0.178017</x:v>
      </x:c>
      <x:c r="H64" s="37" t="n">
        <x:v>0</x:v>
      </x:c>
      <x:c r="I64" s="37" t="n">
        <x:f>AVERAGE(C64:H64)</x:f>
        <x:v>0.1463485</x:v>
      </x:c>
      <x:c r="J64" s="32" t="str">
        <x:v>provisional_HQ_domain</x:v>
      </x:c>
      <x:c r="K64" s="32" t="str">
        <x:v>sp|Q88168|UDPE_NPVSL Ecdysteroid UDP-glucosyltransferase OS=Spodoptera littoralis nuclear polyhedrosis virus OX=10456 GN=EGT PE=3 SV=1</x:v>
      </x:c>
    </x:row>
    <x:row r="65">
      <x:c r="A65" s="32" t="str">
        <x:v>UGT</x:v>
      </x:c>
      <x:c r="B65" s="32" t="str">
        <x:v>TRINITY_DN38523_c0_g1</x:v>
      </x:c>
      <x:c r="C65" s="37" t="n">
        <x:v>0.129397</x:v>
      </x:c>
      <x:c r="D65" s="37" t="n">
        <x:v>0</x:v>
      </x:c>
      <x:c r="E65" s="37" t="n">
        <x:v>0</x:v>
      </x:c>
      <x:c r="F65" s="37" t="n">
        <x:v>0.460268</x:v>
      </x:c>
      <x:c r="G65" s="37" t="n">
        <x:v>0.086072</x:v>
      </x:c>
      <x:c r="H65" s="37" t="n">
        <x:v>0</x:v>
      </x:c>
      <x:c r="I65" s="37" t="n">
        <x:f>AVERAGE(C65:H65)</x:f>
        <x:v>0.11262283333333334</x:v>
      </x:c>
      <x:c r="J65" s="32" t="str">
        <x:v>provisional_HQ_domain</x:v>
      </x:c>
      <x:c r="K65" s="32" t="str">
        <x:v>sp|A0A291PQH4|UGT2_DACCO UDP-glucosyltransferase 2 OS=Dactylopius coccus OX=765876 GN=UTG2 PE=1 SV=1</x:v>
      </x:c>
    </x:row>
    <x:row r="66">
      <x:c r="A66" s="32" t="str">
        <x:v>UGT</x:v>
      </x:c>
      <x:c r="B66" s="32" t="str">
        <x:v>TRINITY_DN39303_c0_g1</x:v>
      </x:c>
      <x:c r="C66" s="37" t="n">
        <x:v>0.472639</x:v>
      </x:c>
      <x:c r="D66" s="37" t="n">
        <x:v>1.316953</x:v>
      </x:c>
      <x:c r="E66" s="37" t="n">
        <x:v>1.200679</x:v>
      </x:c>
      <x:c r="F66" s="37" t="n">
        <x:v>0.184577</x:v>
      </x:c>
      <x:c r="G66" s="37" t="n">
        <x:v>0.308598</x:v>
      </x:c>
      <x:c r="H66" s="37" t="n">
        <x:v>0.158382</x:v>
      </x:c>
      <x:c r="I66" s="37" t="n">
        <x:f>AVERAGE(C66:H66)</x:f>
        <x:v>0.6069713333333333</x:v>
      </x:c>
      <x:c r="J66" s="32" t="str">
        <x:v>provisional_HQ_domain</x:v>
      </x:c>
      <x:c r="K66" s="32" t="str">
        <x:v>sp|P41713|UDPE_NPVLD Ecdysteroid UDP-glucosyltransferase OS=Lymantria dispar multicapsid nuclear polyhedrosis virus OX=10449 GN=EGT PE=3 SV=2</x:v>
      </x:c>
    </x:row>
    <x:row r="67">
      <x:c r="A67" s="32" t="str">
        <x:v>UGT</x:v>
      </x:c>
      <x:c r="B67" s="32" t="str">
        <x:v>TRINITY_DN41259_c0_g1</x:v>
      </x:c>
      <x:c r="C67" s="37" t="n">
        <x:v>0</x:v>
      </x:c>
      <x:c r="D67" s="37" t="n">
        <x:v>0.199383</x:v>
      </x:c>
      <x:c r="E67" s="37" t="n">
        <x:v>0.015886</x:v>
      </x:c>
      <x:c r="F67" s="37" t="n">
        <x:v>0.13243</x:v>
      </x:c>
      <x:c r="G67" s="37" t="n">
        <x:v>0.163409</x:v>
      </x:c>
      <x:c r="H67" s="37" t="n">
        <x:v>0.133702</x:v>
      </x:c>
      <x:c r="I67" s="37" t="n">
        <x:f>AVERAGE(C67:H67)</x:f>
        <x:v>0.10746833333333333</x:v>
      </x:c>
      <x:c r="J67" s="32" t="str">
        <x:v>review</x:v>
      </x:c>
      <x:c r="K67" s="32" t="str">
        <x:v>sp|B0WC46|TRET1_CULQU Facilitated trehalose transporter Tret1 OS=Culex quinquefasciatus OX=7176 GN=Tret1 PE=3 SV=1</x:v>
      </x:c>
    </x:row>
    <x:row r="68">
      <x:c r="A68" s="32" t="str">
        <x:v>UGT</x:v>
      </x:c>
      <x:c r="B68" s="32" t="str">
        <x:v>TRINITY_DN5199_c0_g1</x:v>
      </x:c>
      <x:c r="C68" s="37" t="n">
        <x:v>2.191733</x:v>
      </x:c>
      <x:c r="D68" s="37" t="n">
        <x:v>3.018588</x:v>
      </x:c>
      <x:c r="E68" s="37" t="n">
        <x:v>3.269663</x:v>
      </x:c>
      <x:c r="F68" s="37" t="n">
        <x:v>1.561503</x:v>
      </x:c>
      <x:c r="G68" s="37" t="n">
        <x:v>1.421593</x:v>
      </x:c>
      <x:c r="H68" s="37" t="n">
        <x:v>3.765416</x:v>
      </x:c>
      <x:c r="I68" s="37" t="n">
        <x:f>AVERAGE(C68:H68)</x:f>
        <x:v>2.5380826666666665</x:v>
      </x:c>
      <x:c r="J68" s="32" t="str">
        <x:v>provisional_HQ_domain</x:v>
      </x:c>
      <x:c r="K68" s="32" t="str">
        <x:v>sp|A0A291PQF1|UGT5_DACCO UDP-glycosyltransferase UGT5 OS=Dactylopius coccus OX=765876 GN=UGT5 PE=1 SV=1</x:v>
      </x:c>
    </x:row>
    <x:row r="69">
      <x:c r="A69" s="32" t="str">
        <x:v>UGT</x:v>
      </x:c>
      <x:c r="B69" s="32" t="str">
        <x:v>TRINITY_DN5252_c0_g3</x:v>
      </x:c>
      <x:c r="C69" s="37" t="n">
        <x:v>1.29303</x:v>
      </x:c>
      <x:c r="D69" s="37" t="n">
        <x:v>1.151784</x:v>
      </x:c>
      <x:c r="E69" s="37" t="n">
        <x:v>0.048143</x:v>
      </x:c>
      <x:c r="F69" s="37" t="n">
        <x:v>1.0726</x:v>
      </x:c>
      <x:c r="G69" s="37" t="n">
        <x:v>0.834281</x:v>
      </x:c>
      <x:c r="H69" s="37" t="n">
        <x:v>0.916146</x:v>
      </x:c>
      <x:c r="I69" s="37" t="n">
        <x:f>AVERAGE(C69:H69)</x:f>
        <x:v>0.8859973333333334</x:v>
      </x:c>
      <x:c r="J69" s="32" t="str">
        <x:v>provisional_HQ_domain</x:v>
      </x:c>
      <x:c r="K69" s="32" t="str">
        <x:v>sp|P36513|UDB14_RABIT UDP-glucuronosyltransferase 2B14 OS=Oryctolagus cuniculus OX=9986 GN=UGT2B14 PE=2 SV=1</x:v>
      </x:c>
    </x:row>
    <x:row r="70">
      <x:c r="A70" s="32" t="str">
        <x:v>UGT</x:v>
      </x:c>
      <x:c r="B70" s="32" t="str">
        <x:v>TRINITY_DN566_c0_g2</x:v>
      </x:c>
      <x:c r="C70" s="37" t="n">
        <x:v>1.746635</x:v>
      </x:c>
      <x:c r="D70" s="37" t="n">
        <x:v>7.336517</x:v>
      </x:c>
      <x:c r="E70" s="37" t="n">
        <x:v>3.519595</x:v>
      </x:c>
      <x:c r="F70" s="37" t="n">
        <x:v>27.848549</x:v>
      </x:c>
      <x:c r="G70" s="37" t="n">
        <x:v>36.628184000000005</x:v>
      </x:c>
      <x:c r="H70" s="37" t="n">
        <x:v>46.396887</x:v>
      </x:c>
      <x:c r="I70" s="37" t="n">
        <x:f>AVERAGE(C70:H70)</x:f>
        <x:v>20.579394500000003</x:v>
      </x:c>
      <x:c r="J70" s="32" t="str">
        <x:v>review</x:v>
      </x:c>
      <x:c r="K70" s="32" t="str">
        <x:v>sp|A5LGM7|TRET1_POLVA Facilitated trehalose transporter Tret1 OS=Polypedilum vanderplanki OX=319348 GN=Tret1 PE=1 SV=1</x:v>
      </x:c>
    </x:row>
    <x:row r="71">
      <x:c r="A71" s="32" t="str">
        <x:v>UGT</x:v>
      </x:c>
      <x:c r="B71" s="32" t="str">
        <x:v>TRINITY_DN60107_c0_g1</x:v>
      </x:c>
      <x:c r="C71" s="37" t="n">
        <x:v>0</x:v>
      </x:c>
      <x:c r="D71" s="37" t="n">
        <x:v>0</x:v>
      </x:c>
      <x:c r="E71" s="37" t="n">
        <x:v>0</x:v>
      </x:c>
      <x:c r="F71" s="37" t="n">
        <x:v>0.151394</x:v>
      </x:c>
      <x:c r="G71" s="37" t="n">
        <x:v>0.288742</x:v>
      </x:c>
      <x:c r="H71" s="37" t="n">
        <x:v>0</x:v>
      </x:c>
      <x:c r="I71" s="37" t="n">
        <x:f>AVERAGE(C71:H71)</x:f>
        <x:v>0.07335599999999999</x:v>
      </x:c>
      <x:c r="J71" s="32" t="str">
        <x:v>provisional_HQ_domain</x:v>
      </x:c>
      <x:c r="K71" s="32" t="str">
        <x:v>sp|A0A291PQH4|UGT2_DACCO UDP-glucosyltransferase 2 OS=Dactylopius coccus OX=765876 GN=UTG2 PE=1 SV=1</x:v>
      </x:c>
    </x:row>
    <x:row r="72">
      <x:c r="A72" s="32" t="str">
        <x:v>UGT</x:v>
      </x:c>
      <x:c r="B72" s="32" t="str">
        <x:v>TRINITY_DN654_c0_g1</x:v>
      </x:c>
      <x:c r="C72" s="37" t="n">
        <x:v>9.166821</x:v>
      </x:c>
      <x:c r="D72" s="37" t="n">
        <x:v>31.721735000000002</x:v>
      </x:c>
      <x:c r="E72" s="37" t="n">
        <x:v>3.038342</x:v>
      </x:c>
      <x:c r="F72" s="37" t="n">
        <x:v>34.639143000000004</x:v>
      </x:c>
      <x:c r="G72" s="37" t="n">
        <x:v>22.315785</x:v>
      </x:c>
      <x:c r="H72" s="37" t="n">
        <x:v>17.459799999999998</x:v>
      </x:c>
      <x:c r="I72" s="37" t="n">
        <x:f>AVERAGE(C72:H72)</x:f>
        <x:v>19.723604333333338</x:v>
      </x:c>
      <x:c r="J72" s="32" t="str">
        <x:v>provisional_HQ_domain</x:v>
      </x:c>
      <x:c r="K72" s="32" t="str">
        <x:v>sp|A0A291PQH4|UGT2_DACCO UDP-glucosyltransferase 2 OS=Dactylopius coccus OX=765876 GN=UTG2 PE=1 SV=1</x:v>
      </x:c>
    </x:row>
    <x:row r="73">
      <x:c r="A73" s="32" t="str">
        <x:v>UGT</x:v>
      </x:c>
      <x:c r="B73" s="32" t="str">
        <x:v>TRINITY_DN6816_c0_g1</x:v>
      </x:c>
      <x:c r="C73" s="37" t="n">
        <x:v>24.3708</x:v>
      </x:c>
      <x:c r="D73" s="37" t="n">
        <x:v>30.029187</x:v>
      </x:c>
      <x:c r="E73" s="37" t="n">
        <x:v>29.835898</x:v>
      </x:c>
      <x:c r="F73" s="37" t="n">
        <x:v>34.382098</x:v>
      </x:c>
      <x:c r="G73" s="37" t="n">
        <x:v>52.662732999999996</x:v>
      </x:c>
      <x:c r="H73" s="37" t="n">
        <x:v>41.431509</x:v>
      </x:c>
      <x:c r="I73" s="37" t="n">
        <x:f>AVERAGE(C73:H73)</x:f>
        <x:v>35.452037499999996</x:v>
      </x:c>
      <x:c r="J73" s="32" t="str">
        <x:v>provisional_HQ_domain</x:v>
      </x:c>
      <x:c r="K73" s="32" t="str">
        <x:v>sp|A0A291PQH4|UGT2_DACCO UDP-glucosyltransferase 2 OS=Dactylopius coccus OX=765876 GN=UTG2 PE=1 SV=1</x:v>
      </x:c>
    </x:row>
    <x:row r="74">
      <x:c r="A74" s="32" t="str">
        <x:v>UGT</x:v>
      </x:c>
      <x:c r="B74" s="32" t="str">
        <x:v>TRINITY_DN7259_c0_g1</x:v>
      </x:c>
      <x:c r="C74" s="37" t="n">
        <x:v>36.369519</x:v>
      </x:c>
      <x:c r="D74" s="37" t="n">
        <x:v>38.682338</x:v>
      </x:c>
      <x:c r="E74" s="37" t="n">
        <x:v>13.504367</x:v>
      </x:c>
      <x:c r="F74" s="37" t="n">
        <x:v>57.411431</x:v>
      </x:c>
      <x:c r="G74" s="37" t="n">
        <x:v>69.061377</x:v>
      </x:c>
      <x:c r="H74" s="37" t="n">
        <x:v>76.276684</x:v>
      </x:c>
      <x:c r="I74" s="37" t="n">
        <x:f>AVERAGE(C74:H74)</x:f>
        <x:v>48.55095266666667</x:v>
      </x:c>
      <x:c r="J74" s="32" t="str">
        <x:v>review</x:v>
      </x:c>
      <x:c r="K74" s="32" t="str">
        <x:v>sp|Q9GMB0|RPN1_PIG Dolichyl-diphosphooligosaccharide--protein glycosyltransferase subunit 1 OS=Sus scrofa OX=9823 GN=RPN1 PE=1 SV=1</x:v>
      </x:c>
    </x:row>
    <x:row r="75">
      <x:c r="A75" s="32" t="str">
        <x:v>UGT</x:v>
      </x:c>
      <x:c r="B75" s="32" t="str">
        <x:v>TRINITY_DN729_c0_g1</x:v>
      </x:c>
      <x:c r="C75" s="37" t="n">
        <x:v>62.322720000000004</x:v>
      </x:c>
      <x:c r="D75" s="37" t="n">
        <x:v>78.210143</x:v>
      </x:c>
      <x:c r="E75" s="37" t="n">
        <x:v>38.267896</x:v>
      </x:c>
      <x:c r="F75" s="37" t="n">
        <x:v>101.659454</x:v>
      </x:c>
      <x:c r="G75" s="37" t="n">
        <x:v>102.97134700000001</x:v>
      </x:c>
      <x:c r="H75" s="37" t="n">
        <x:v>122.10296</x:v>
      </x:c>
      <x:c r="I75" s="37" t="n">
        <x:f>AVERAGE(C75:H75)</x:f>
        <x:v>84.25575333333333</x:v>
      </x:c>
      <x:c r="J75" s="32" t="str">
        <x:v>review</x:v>
      </x:c>
      <x:c r="K75" s="32" t="str">
        <x:v>sp|Q9UHR5|S30BP_HUMAN SAP30-binding protein OS=Homo sapiens OX=9606 GN=SAP30BP PE=1 SV=1</x:v>
      </x:c>
    </x:row>
    <x:row r="76">
      <x:c r="A76" s="32" t="str">
        <x:v>UGT</x:v>
      </x:c>
      <x:c r="B76" s="32" t="str">
        <x:v>TRINITY_DN7973_c0_g1</x:v>
      </x:c>
      <x:c r="C76" s="37" t="n">
        <x:v>19.042175999999998</x:v>
      </x:c>
      <x:c r="D76" s="37" t="n">
        <x:v>24.161050000000003</x:v>
      </x:c>
      <x:c r="E76" s="37" t="n">
        <x:v>12.304905</x:v>
      </x:c>
      <x:c r="F76" s="37" t="n">
        <x:v>30.573038</x:v>
      </x:c>
      <x:c r="G76" s="37" t="n">
        <x:v>35.68721</x:v>
      </x:c>
      <x:c r="H76" s="37" t="n">
        <x:v>34.873977000000004</x:v>
      </x:c>
      <x:c r="I76" s="37" t="n">
        <x:f>AVERAGE(C76:H76)</x:f>
        <x:v>26.107059333333336</x:v>
      </x:c>
      <x:c r="J76" s="32" t="str">
        <x:v>review</x:v>
      </x:c>
      <x:c r="K76" s="32" t="str">
        <x:v>sp|Q8BTV1|TUSC3_MOUSE Dolichyl-diphosphooligosaccharide--protein glycosyltransferase subunit TUSC3 OS=Mus musculus OX=10090 GN=Tusc3 PE=1 SV=1</x:v>
      </x:c>
    </x:row>
    <x:row r="77">
      <x:c r="A77" s="32" t="str">
        <x:v>UGT</x:v>
      </x:c>
      <x:c r="B77" s="32" t="str">
        <x:v>TRINITY_DN8039_c0_g1</x:v>
      </x:c>
      <x:c r="C77" s="37" t="n">
        <x:v>0.603016</x:v>
      </x:c>
      <x:c r="D77" s="37" t="n">
        <x:v>1.293826</x:v>
      </x:c>
      <x:c r="E77" s="37" t="n">
        <x:v>1.315611</x:v>
      </x:c>
      <x:c r="F77" s="37" t="n">
        <x:v>1.745115</x:v>
      </x:c>
      <x:c r="G77" s="37" t="n">
        <x:v>2.70007</x:v>
      </x:c>
      <x:c r="H77" s="37" t="n">
        <x:v>0.845038</x:v>
      </x:c>
      <x:c r="I77" s="37" t="n">
        <x:f>AVERAGE(C77:H77)</x:f>
        <x:v>1.417112666666667</x:v>
      </x:c>
      <x:c r="J77" s="32" t="str">
        <x:v>review</x:v>
      </x:c>
      <x:c r="K77" s="32" t="str">
        <x:v>sp|Q24342|FNG_DROME Fringe glycosyltransferase OS=Drosophila melanogaster OX=7227 GN=fng PE=1 SV=1</x:v>
      </x:c>
    </x:row>
    <x:row r="78">
      <x:c r="A78" s="32" t="str">
        <x:v>UGT</x:v>
      </x:c>
      <x:c r="B78" s="32" t="str">
        <x:v>TRINITY_DN87_c1_g3</x:v>
      </x:c>
      <x:c r="C78" s="37" t="n">
        <x:v>22.400955</x:v>
      </x:c>
      <x:c r="D78" s="37" t="n">
        <x:v>19.800771</x:v>
      </x:c>
      <x:c r="E78" s="37" t="n">
        <x:v>10.626021</x:v>
      </x:c>
      <x:c r="F78" s="37" t="n">
        <x:v>28.126039000000002</x:v>
      </x:c>
      <x:c r="G78" s="37" t="n">
        <x:v>18.990955</x:v>
      </x:c>
      <x:c r="H78" s="37" t="n">
        <x:v>12.767046</x:v>
      </x:c>
      <x:c r="I78" s="37" t="n">
        <x:f>AVERAGE(C78:H78)</x:f>
        <x:v>18.785297833333335</x:v>
      </x:c>
      <x:c r="J78" s="32" t="str">
        <x:v>provisional_HQ_domain</x:v>
      </x:c>
      <x:c r="K78" s="32" t="str">
        <x:v>sp|P41713|UDPE_NPVLD Ecdysteroid UDP-glucosyltransferase OS=Lymantria dispar multicapsid nuclear polyhedrosis virus OX=10449 GN=EGT PE=3 SV=2</x:v>
      </x:c>
    </x:row>
    <x:row r="79">
      <x:c r="A79" s="32" t="str">
        <x:v>UGT</x:v>
      </x:c>
      <x:c r="B79" s="32" t="str">
        <x:v>TRINITY_DN9587_c0_g1</x:v>
      </x:c>
      <x:c r="C79" s="37" t="n">
        <x:v>0.111424</x:v>
      </x:c>
      <x:c r="D79" s="37" t="n">
        <x:v>0.19672800000000001</x:v>
      </x:c>
      <x:c r="E79" s="37" t="n">
        <x:v>3.236121</x:v>
      </x:c>
      <x:c r="F79" s="37" t="n">
        <x:v>0.15148</x:v>
      </x:c>
      <x:c r="G79" s="37" t="n">
        <x:v>0.28358099999999997</x:v>
      </x:c>
      <x:c r="H79" s="37" t="n">
        <x:v>0.614984</x:v>
      </x:c>
      <x:c r="I79" s="37" t="n">
        <x:f>AVERAGE(C79:H79)</x:f>
        <x:v>0.7657196666666666</x:v>
      </x:c>
      <x:c r="J79" s="32" t="str">
        <x:v>provisional_HQ_domain</x:v>
      </x:c>
      <x:c r="K79" s="32" t="str">
        <x:v>sp|Q9XT55|UDB19_MACFA UDP-glucuronosyltransferase 2B19 OS=Macaca fascicularis OX=9541 GN=UGT2B19 PE=1 SV=1</x:v>
      </x:c>
    </x:row>
    <x:row r="80">
      <x:c r="A80" s="32" t="str">
        <x:v>SULT</x:v>
      </x:c>
      <x:c r="B80" s="32" t="str">
        <x:v>TRINITY_DN1282_c1_g2</x:v>
      </x:c>
      <x:c r="C80" s="37" t="n">
        <x:v>0.53343</x:v>
      </x:c>
      <x:c r="D80" s="37" t="n">
        <x:v>1.302409</x:v>
      </x:c>
      <x:c r="E80" s="37" t="n">
        <x:v>0.681225</x:v>
      </x:c>
      <x:c r="F80" s="37" t="n">
        <x:v>9.62363</x:v>
      </x:c>
      <x:c r="G80" s="37" t="n">
        <x:v>4.063916</x:v>
      </x:c>
      <x:c r="H80" s="37" t="n">
        <x:v>2.642842</x:v>
      </x:c>
      <x:c r="I80" s="37" t="n">
        <x:f>AVERAGE(C80:H80)</x:f>
        <x:v>3.1412419999999996</x:v>
      </x:c>
      <x:c r="J80" s="32" t="str">
        <x:v>provisional_HQ_domain</x:v>
      </x:c>
      <x:c r="K80" s="32" t="str">
        <x:v>sp|Q6IMI6|ST1C3_HUMAN Sulfotransferase 1C3 OS=Homo sapiens OX=9606 GN=SULT1C3 PE=1 SV=1</x:v>
      </x:c>
    </x:row>
    <x:row r="81">
      <x:c r="A81" s="32" t="str">
        <x:v>SULT</x:v>
      </x:c>
      <x:c r="B81" s="32" t="str">
        <x:v>TRINITY_DN13428_c0_g1</x:v>
      </x:c>
      <x:c r="C81" s="37" t="n">
        <x:v>0.240016</x:v>
      </x:c>
      <x:c r="D81" s="37" t="n">
        <x:v>0.5344099999999999</x:v>
      </x:c>
      <x:c r="E81" s="37" t="n">
        <x:v>0.12103</x:v>
      </x:c>
      <x:c r="F81" s="37" t="n">
        <x:v>0.314299</x:v>
      </x:c>
      <x:c r="G81" s="37" t="n">
        <x:v>1.307853</x:v>
      </x:c>
      <x:c r="H81" s="37" t="n">
        <x:v>0.061437</x:v>
      </x:c>
      <x:c r="I81" s="37" t="n">
        <x:f>AVERAGE(C81:H81)</x:f>
        <x:v>0.4298408333333334</x:v>
      </x:c>
      <x:c r="J81" s="32" t="str">
        <x:v>provisional_HQ_domain</x:v>
      </x:c>
      <x:c r="K81" s="32" t="str">
        <x:v>sp|A0A173GP47|LST_PHOPY Luciferin sulfotransferase OS=Photinus pyralis OX=7054 GN=LST PE=1 SV=1</x:v>
      </x:c>
    </x:row>
    <x:row r="82">
      <x:c r="A82" s="32" t="str">
        <x:v>SULT</x:v>
      </x:c>
      <x:c r="B82" s="32" t="str">
        <x:v>TRINITY_DN13428_c0_g2</x:v>
      </x:c>
      <x:c r="C82" s="37" t="n">
        <x:v>0.079301</x:v>
      </x:c>
      <x:c r="D82" s="37" t="n">
        <x:v>0.250719</x:v>
      </x:c>
      <x:c r="E82" s="37" t="n">
        <x:v>0.246333</x:v>
      </x:c>
      <x:c r="F82" s="37" t="n">
        <x:v>0.411366</x:v>
      </x:c>
      <x:c r="G82" s="37" t="n">
        <x:v>0.440033</x:v>
      </x:c>
      <x:c r="H82" s="37" t="n">
        <x:v>0.106472</x:v>
      </x:c>
      <x:c r="I82" s="37" t="n">
        <x:f>AVERAGE(C82:H82)</x:f>
        <x:v>0.255704</x:v>
      </x:c>
      <x:c r="J82" s="32" t="str">
        <x:v>provisional_HQ_domain</x:v>
      </x:c>
      <x:c r="K82" s="32" t="str">
        <x:v>sp|O75897|ST1C4_HUMAN Sulfotransferase 1C4 OS=Homo sapiens OX=9606 GN=SULT1C4 PE=1 SV=2</x:v>
      </x:c>
    </x:row>
    <x:row r="83">
      <x:c r="A83" s="32" t="str">
        <x:v>SULT</x:v>
      </x:c>
      <x:c r="B83" s="32" t="str">
        <x:v>TRINITY_DN18563_c0_g1</x:v>
      </x:c>
      <x:c r="C83" s="37" t="n">
        <x:v>0.172274</x:v>
      </x:c>
      <x:c r="D83" s="37" t="n">
        <x:v>0.644387</x:v>
      </x:c>
      <x:c r="E83" s="37" t="n">
        <x:v>1.677719</x:v>
      </x:c>
      <x:c r="F83" s="37" t="n">
        <x:v>0</x:v>
      </x:c>
      <x:c r="G83" s="37" t="n">
        <x:v>0.062638</x:v>
      </x:c>
      <x:c r="H83" s="37" t="n">
        <x:v>0</x:v>
      </x:c>
      <x:c r="I83" s="37" t="n">
        <x:f>AVERAGE(C83:H83)</x:f>
        <x:v>0.4261696666666667</x:v>
      </x:c>
      <x:c r="J83" s="32" t="str">
        <x:v>provisional_HQ_domain</x:v>
      </x:c>
      <x:c r="K83" s="32" t="str">
        <x:v>sp|A0A173GP47|LST_PHOPY Luciferin sulfotransferase OS=Photinus pyralis OX=7054 GN=LST PE=1 SV=1</x:v>
      </x:c>
    </x:row>
    <x:row r="84">
      <x:c r="A84" s="32" t="str">
        <x:v>SULT</x:v>
      </x:c>
      <x:c r="B84" s="32" t="str">
        <x:v>TRINITY_DN1884_c0_g1</x:v>
      </x:c>
      <x:c r="C84" s="37" t="n">
        <x:v>60.328386</x:v>
      </x:c>
      <x:c r="D84" s="37" t="n">
        <x:v>104.456856</x:v>
      </x:c>
      <x:c r="E84" s="37" t="n">
        <x:v>41.575593</x:v>
      </x:c>
      <x:c r="F84" s="37" t="n">
        <x:v>48.481214</x:v>
      </x:c>
      <x:c r="G84" s="37" t="n">
        <x:v>85.29727199999999</x:v>
      </x:c>
      <x:c r="H84" s="37" t="n">
        <x:v>108.355405</x:v>
      </x:c>
      <x:c r="I84" s="37" t="n">
        <x:f>AVERAGE(C84:H84)</x:f>
        <x:v>74.749121</x:v>
      </x:c>
      <x:c r="J84" s="32" t="str">
        <x:v>provisional_HQ_domain</x:v>
      </x:c>
      <x:c r="K84" s="32" t="str">
        <x:v>sp|O75897|ST1C4_HUMAN Sulfotransferase 1C4 OS=Homo sapiens OX=9606 GN=SULT1C4 PE=1 SV=2</x:v>
      </x:c>
    </x:row>
    <x:row r="85">
      <x:c r="A85" s="32" t="str">
        <x:v>SULT</x:v>
      </x:c>
      <x:c r="B85" s="32" t="str">
        <x:v>TRINITY_DN260_c1_g1</x:v>
      </x:c>
      <x:c r="C85" s="37" t="n">
        <x:v>460.727667</x:v>
      </x:c>
      <x:c r="D85" s="37" t="n">
        <x:v>723.701139</x:v>
      </x:c>
      <x:c r="E85" s="37" t="n">
        <x:v>381.201308</x:v>
      </x:c>
      <x:c r="F85" s="37" t="n">
        <x:v>374.594053</x:v>
      </x:c>
      <x:c r="G85" s="37" t="n">
        <x:v>345.946152</x:v>
      </x:c>
      <x:c r="H85" s="37" t="n">
        <x:v>455.796607</x:v>
      </x:c>
      <x:c r="I85" s="37" t="n">
        <x:f>AVERAGE(C85:H85)</x:f>
        <x:v>456.99448766666666</x:v>
      </x:c>
      <x:c r="J85" s="32" t="str">
        <x:v>provisional_HQ_domain</x:v>
      </x:c>
      <x:c r="K85" s="32" t="str">
        <x:v>sp|A0A173GP47|LST_PHOPY Luciferin sulfotransferase OS=Photinus pyralis OX=7054 GN=LST PE=1 SV=1</x:v>
      </x:c>
    </x:row>
    <x:row r="86">
      <x:c r="A86" s="32" t="str">
        <x:v>SULT</x:v>
      </x:c>
      <x:c r="B86" s="32" t="str">
        <x:v>TRINITY_DN275_c0_g1</x:v>
      </x:c>
      <x:c r="C86" s="37" t="n">
        <x:v>5.164658</x:v>
      </x:c>
      <x:c r="D86" s="37" t="n">
        <x:v>9.938026</x:v>
      </x:c>
      <x:c r="E86" s="37" t="n">
        <x:v>6.101466</x:v>
      </x:c>
      <x:c r="F86" s="37" t="n">
        <x:v>9.709106</x:v>
      </x:c>
      <x:c r="G86" s="37" t="n">
        <x:v>8.179689</x:v>
      </x:c>
      <x:c r="H86" s="37" t="n">
        <x:v>9.885457</x:v>
      </x:c>
      <x:c r="I86" s="37" t="n">
        <x:f>AVERAGE(C86:H86)</x:f>
        <x:v>8.163067</x:v>
      </x:c>
      <x:c r="J86" s="32" t="str">
        <x:v>review</x:v>
      </x:c>
      <x:c r="K86" s="32" t="str">
        <x:v>sp|Q9VYB7|TPST_DROME Protein-tyrosine sulfotransferase OS=Drosophila melanogaster OX=7227 GN=Tpst PE=2 SV=2</x:v>
      </x:c>
    </x:row>
    <x:row r="87">
      <x:c r="A87" s="32" t="str">
        <x:v>SULT</x:v>
      </x:c>
      <x:c r="B87" s="32" t="str">
        <x:v>TRINITY_DN27959_c0_g1</x:v>
      </x:c>
      <x:c r="C87" s="37" t="n">
        <x:v>0.071259</x:v>
      </x:c>
      <x:c r="D87" s="37" t="n">
        <x:v>0.16493</x:v>
      </x:c>
      <x:c r="E87" s="37" t="n">
        <x:v>0.9604349999999999</x:v>
      </x:c>
      <x:c r="F87" s="37" t="n">
        <x:v>0.111798</x:v>
      </x:c>
      <x:c r="G87" s="37" t="n">
        <x:v>0.089698</x:v>
      </x:c>
      <x:c r="H87" s="37" t="n">
        <x:v>0.084282</x:v>
      </x:c>
      <x:c r="I87" s="37" t="n">
        <x:f>AVERAGE(C87:H87)</x:f>
        <x:v>0.247067</x:v>
      </x:c>
      <x:c r="J87" s="32" t="str">
        <x:v>review</x:v>
      </x:c>
      <x:c r="K87" s="32" t="str">
        <x:v>sp|Q86BJ3|UST_DROME Uronyl 2-sulfotransferase homolog pip OS=Drosophila melanogaster OX=7227 GN=pip PE=1 SV=1</x:v>
      </x:c>
    </x:row>
    <x:row r="88">
      <x:c r="A88" s="32" t="str">
        <x:v>SULT</x:v>
      </x:c>
      <x:c r="B88" s="32" t="str">
        <x:v>TRINITY_DN5927_c0_g1</x:v>
      </x:c>
      <x:c r="C88" s="37" t="n">
        <x:v>116.516503</x:v>
      </x:c>
      <x:c r="D88" s="37" t="n">
        <x:v>220.669767</x:v>
      </x:c>
      <x:c r="E88" s="37" t="n">
        <x:v>168.25462000000002</x:v>
      </x:c>
      <x:c r="F88" s="37" t="n">
        <x:v>118.991785</x:v>
      </x:c>
      <x:c r="G88" s="37" t="n">
        <x:v>104.788347</x:v>
      </x:c>
      <x:c r="H88" s="37" t="n">
        <x:v>66.246954</x:v>
      </x:c>
      <x:c r="I88" s="37" t="n">
        <x:f>AVERAGE(C88:H88)</x:f>
        <x:v>132.577996</x:v>
      </x:c>
      <x:c r="J88" s="32" t="str">
        <x:v>provisional_HQ_domain</x:v>
      </x:c>
      <x:c r="K88" s="32" t="str">
        <x:v>sp|Q9M2U3|ALPL_ARATH Protein ALP1-like OS=Arabidopsis thaliana OX=3702 GN=At3g55350 PE=2 SV=1</x:v>
      </x:c>
    </x:row>
    <x:row r="89">
      <x:c r="A89" s="32" t="str">
        <x:v>SULT</x:v>
      </x:c>
      <x:c r="B89" s="32" t="str">
        <x:v>TRINITY_DN5949_c0_g1</x:v>
      </x:c>
      <x:c r="C89" s="37" t="n">
        <x:v>6.003498</x:v>
      </x:c>
      <x:c r="D89" s="37" t="n">
        <x:v>10.646097</x:v>
      </x:c>
      <x:c r="E89" s="37" t="n">
        <x:v>4.050796</x:v>
      </x:c>
      <x:c r="F89" s="37" t="n">
        <x:v>8.988485</x:v>
      </x:c>
      <x:c r="G89" s="37" t="n">
        <x:v>5.64395</x:v>
      </x:c>
      <x:c r="H89" s="37" t="n">
        <x:v>1.034779</x:v>
      </x:c>
      <x:c r="I89" s="37" t="n">
        <x:f>AVERAGE(C89:H89)</x:f>
        <x:v>6.0612675</x:v>
      </x:c>
      <x:c r="J89" s="32" t="str">
        <x:v>provisional_HQ_domain</x:v>
      </x:c>
      <x:c r="K89" s="32" t="str">
        <x:v>sp|A0A173GP47|LST_PHOPY Luciferin sulfotransferase OS=Photinus pyralis OX=7054 GN=LST PE=1 SV=1</x:v>
      </x:c>
    </x:row>
    <x:row r="90">
      <x:c r="A90" s="32" t="str">
        <x:v>SULT</x:v>
      </x:c>
      <x:c r="B90" s="32" t="str">
        <x:v>TRINITY_DN659_c1_g1</x:v>
      </x:c>
      <x:c r="C90" s="37" t="n">
        <x:v>133.412877</x:v>
      </x:c>
      <x:c r="D90" s="37" t="n">
        <x:v>239.75860799999998</x:v>
      </x:c>
      <x:c r="E90" s="37" t="n">
        <x:v>222.323406</x:v>
      </x:c>
      <x:c r="F90" s="37" t="n">
        <x:v>148.24445699999998</x:v>
      </x:c>
      <x:c r="G90" s="37" t="n">
        <x:v>121.585513</x:v>
      </x:c>
      <x:c r="H90" s="37" t="n">
        <x:v>98.512</x:v>
      </x:c>
      <x:c r="I90" s="37" t="n">
        <x:f>AVERAGE(C90:H90)</x:f>
        <x:v>160.63947683333333</x:v>
      </x:c>
      <x:c r="J90" s="32" t="str">
        <x:v>provisional_HQ_domain</x:v>
      </x:c>
      <x:c r="K90" s="32" t="str">
        <x:v>sp|Q9QWG7|ST1B1_MOUSE Sulfotransferase 1B1 OS=Mus musculus OX=10090 GN=Sult1b1 PE=1 SV=2</x:v>
      </x:c>
    </x:row>
    <x:row r="91">
      <x:c r="A91" s="32" t="str">
        <x:v>ABC</x:v>
      </x:c>
      <x:c r="B91" s="32" t="str">
        <x:v>TRINITY_DN10989_c0_g1</x:v>
      </x:c>
      <x:c r="C91" s="37" t="n">
        <x:v>0.644574</x:v>
      </x:c>
      <x:c r="D91" s="37" t="n">
        <x:v>0</x:v>
      </x:c>
      <x:c r="E91" s="37" t="n">
        <x:v>0.663687</x:v>
      </x:c>
      <x:c r="F91" s="37" t="n">
        <x:v>0.65984</x:v>
      </x:c>
      <x:c r="G91" s="37" t="n">
        <x:v>0</x:v>
      </x:c>
      <x:c r="H91" s="37" t="n">
        <x:v>1.230028</x:v>
      </x:c>
      <x:c r="I91" s="37" t="n">
        <x:f>AVERAGE(C91:H91)</x:f>
        <x:v>0.5330214999999999</x:v>
      </x:c>
      <x:c r="J91" s="32" t="str">
        <x:v>review</x:v>
      </x:c>
      <x:c r="K91" s="32" t="str">
        <x:v>sp|P06795|MDR1B_MOUSE ATP-dependent translocase ABCB1 OS=Mus musculus OX=10090 GN=Abcb1b PE=1 SV=1</x:v>
      </x:c>
    </x:row>
    <x:row r="92">
      <x:c r="A92" s="32" t="str">
        <x:v>ABC</x:v>
      </x:c>
      <x:c r="B92" s="32" t="str">
        <x:v>TRINITY_DN1124_c0_g1</x:v>
      </x:c>
      <x:c r="C92" s="37" t="n">
        <x:v>10.27421</x:v>
      </x:c>
      <x:c r="D92" s="37" t="n">
        <x:v>17.173547</x:v>
      </x:c>
      <x:c r="E92" s="37" t="n">
        <x:v>12.463777</x:v>
      </x:c>
      <x:c r="F92" s="37" t="n">
        <x:v>45.999145</x:v>
      </x:c>
      <x:c r="G92" s="37" t="n">
        <x:v>43.846283</x:v>
      </x:c>
      <x:c r="H92" s="37" t="n">
        <x:v>24.974984</x:v>
      </x:c>
      <x:c r="I92" s="37" t="n">
        <x:f>AVERAGE(C92:H92)</x:f>
        <x:v>25.788657666666666</x:v>
      </x:c>
      <x:c r="J92" s="32" t="str">
        <x:v>provisional_HQ_domain</x:v>
      </x:c>
      <x:c r="K92" s="32" t="str">
        <x:v>sp|P21447|MDR1A_MOUSE ATP-dependent translocase ABCB1 OS=Mus musculus OX=10090 GN=Abcb1a PE=1 SV=3</x:v>
      </x:c>
    </x:row>
    <x:row r="93">
      <x:c r="A93" s="32" t="str">
        <x:v>ABC</x:v>
      </x:c>
      <x:c r="B93" s="32" t="str">
        <x:v>TRINITY_DN1142_c1_g1</x:v>
      </x:c>
      <x:c r="C93" s="37" t="n">
        <x:v>5.5363739999999995</x:v>
      </x:c>
      <x:c r="D93" s="37" t="n">
        <x:v>10.665141</x:v>
      </x:c>
      <x:c r="E93" s="37" t="n">
        <x:v>17.620508</x:v>
      </x:c>
      <x:c r="F93" s="37" t="n">
        <x:v>7.495091</x:v>
      </x:c>
      <x:c r="G93" s="37" t="n">
        <x:v>10.0774</x:v>
      </x:c>
      <x:c r="H93" s="37" t="n">
        <x:v>21.822042</x:v>
      </x:c>
      <x:c r="I93" s="37" t="n">
        <x:f>AVERAGE(C93:H93)</x:f>
        <x:v>12.202759333333333</x:v>
      </x:c>
      <x:c r="J93" s="32" t="str">
        <x:v>provisional_HQ_domain</x:v>
      </x:c>
      <x:c r="K93" s="32" t="str">
        <x:v>sp|Q7JUN3|ABCD1_DROME ATP-binding cassette sub-family D member 1 OS=Drosophila melanogaster OX=7227 GN=Abcd1 PE=2 SV=1</x:v>
      </x:c>
    </x:row>
    <x:row r="94">
      <x:c r="A94" s="32" t="str">
        <x:v>ABC</x:v>
      </x:c>
      <x:c r="B94" s="32" t="str">
        <x:v>TRINITY_DN11606_c0_g1</x:v>
      </x:c>
      <x:c r="C94" s="37" t="n">
        <x:v>0.139163</x:v>
      </x:c>
      <x:c r="D94" s="37" t="n">
        <x:v>0.366317</x:v>
      </x:c>
      <x:c r="E94" s="37" t="n">
        <x:v>0.5196649999999999</x:v>
      </x:c>
      <x:c r="F94" s="37" t="n">
        <x:v>1.217252</x:v>
      </x:c>
      <x:c r="G94" s="37" t="n">
        <x:v>0.6884859999999999</x:v>
      </x:c>
      <x:c r="H94" s="37" t="n">
        <x:v>0.299051</x:v>
      </x:c>
      <x:c r="I94" s="37" t="n">
        <x:f>AVERAGE(C94:H94)</x:f>
        <x:v>0.5383223333333332</x:v>
      </x:c>
      <x:c r="J94" s="32" t="str">
        <x:v>review</x:v>
      </x:c>
      <x:c r="K94" s="32" t="str">
        <x:v>sp|A0A0G2K1Q8|ABCA3_RAT Phospholipid-transporting ATPase ABCA3 OS=Rattus norvegicus OX=10116 GN=Abca3 PE=1 SV=1</x:v>
      </x:c>
    </x:row>
    <x:row r="95">
      <x:c r="A95" s="32" t="str">
        <x:v>ABC</x:v>
      </x:c>
      <x:c r="B95" s="32" t="str">
        <x:v>TRINITY_DN11773_c0_g1</x:v>
      </x:c>
      <x:c r="C95" s="37" t="n">
        <x:v>13.401411</x:v>
      </x:c>
      <x:c r="D95" s="37" t="n">
        <x:v>18.582588</x:v>
      </x:c>
      <x:c r="E95" s="37" t="n">
        <x:v>7.045577</x:v>
      </x:c>
      <x:c r="F95" s="37" t="n">
        <x:v>16.400432000000002</x:v>
      </x:c>
      <x:c r="G95" s="37" t="n">
        <x:v>14.730338</x:v>
      </x:c>
      <x:c r="H95" s="37" t="n">
        <x:v>19.068907</x:v>
      </x:c>
      <x:c r="I95" s="37" t="n">
        <x:f>AVERAGE(C95:H95)</x:f>
        <x:v>14.871542166666666</x:v>
      </x:c>
      <x:c r="J95" s="32" t="str">
        <x:v>provisional_HQ_domain</x:v>
      </x:c>
      <x:c r="K95" s="32" t="str">
        <x:v>sp|H2LNR5|ABCB7_ORYLA Iron-sulfur clusters transporter ABCB7, mitochondrial OS=Oryzias latipes OX=8090 GN=abcb7 PE=1 SV=2</x:v>
      </x:c>
    </x:row>
    <x:row r="96">
      <x:c r="A96" s="32" t="str">
        <x:v>ABC</x:v>
      </x:c>
      <x:c r="B96" s="32" t="str">
        <x:v>TRINITY_DN12134_c0_g1</x:v>
      </x:c>
      <x:c r="C96" s="37" t="n">
        <x:v>0.2968</x:v>
      </x:c>
      <x:c r="D96" s="37" t="n">
        <x:v>0.344891</x:v>
      </x:c>
      <x:c r="E96" s="37" t="n">
        <x:v>0.34374</x:v>
      </x:c>
      <x:c r="F96" s="37" t="n">
        <x:v>0.640061</x:v>
      </x:c>
      <x:c r="G96" s="37" t="n">
        <x:v>1.23186</x:v>
      </x:c>
      <x:c r="H96" s="37" t="n">
        <x:v>0.684505</x:v>
      </x:c>
      <x:c r="I96" s="37" t="n">
        <x:f>AVERAGE(C96:H96)</x:f>
        <x:v>0.5903094999999999</x:v>
      </x:c>
      <x:c r="J96" s="32" t="str">
        <x:v>provisional_HQ_domain</x:v>
      </x:c>
      <x:c r="K96" s="32" t="str">
        <x:v>sp|E9Q236|MRP4_MOUSE ATP-binding cassette sub-family C member 4 OS=Mus musculus OX=10090 GN=Abcc4 PE=1 SV=1</x:v>
      </x:c>
    </x:row>
    <x:row r="97">
      <x:c r="A97" s="32" t="str">
        <x:v>ABC</x:v>
      </x:c>
      <x:c r="B97" s="32" t="str">
        <x:v>TRINITY_DN12905_c0_g2</x:v>
      </x:c>
      <x:c r="C97" s="37" t="n">
        <x:v>0.129634</x:v>
      </x:c>
      <x:c r="D97" s="37" t="n">
        <x:v>0.204889</x:v>
      </x:c>
      <x:c r="E97" s="37" t="n">
        <x:v>0.087326</x:v>
      </x:c>
      <x:c r="F97" s="37" t="n">
        <x:v>0.18942399999999998</x:v>
      </x:c>
      <x:c r="G97" s="37" t="n">
        <x:v>0.151115</x:v>
      </x:c>
      <x:c r="H97" s="37" t="n">
        <x:v>0.159671</x:v>
      </x:c>
      <x:c r="I97" s="37" t="n">
        <x:f>AVERAGE(C97:H97)</x:f>
        <x:v>0.1536765</x:v>
      </x:c>
      <x:c r="J97" s="32" t="str">
        <x:v>provisional_HQ_domain</x:v>
      </x:c>
      <x:c r="K97" s="32" t="str">
        <x:v>sp|Q9H172|ABCG4_HUMAN ATP-binding cassette sub-family G member 4 OS=Homo sapiens OX=9606 GN=ABCG4 PE=1 SV=2</x:v>
      </x:c>
    </x:row>
    <x:row r="98">
      <x:c r="A98" s="32" t="str">
        <x:v>ABC</x:v>
      </x:c>
      <x:c r="B98" s="32" t="str">
        <x:v>TRINITY_DN13145_c0_g1</x:v>
      </x:c>
      <x:c r="C98" s="37" t="n">
        <x:v>0.145776</x:v>
      </x:c>
      <x:c r="D98" s="37" t="n">
        <x:v>0.319373</x:v>
      </x:c>
      <x:c r="E98" s="37" t="n">
        <x:v>0.227135</x:v>
      </x:c>
      <x:c r="F98" s="37" t="n">
        <x:v>0.564971</x:v>
      </x:c>
      <x:c r="G98" s="37" t="n">
        <x:v>0.715145</x:v>
      </x:c>
      <x:c r="H98" s="37" t="n">
        <x:v>0.806998</x:v>
      </x:c>
      <x:c r="I98" s="37" t="n">
        <x:f>AVERAGE(C98:H98)</x:f>
        <x:v>0.463233</x:v>
      </x:c>
      <x:c r="J98" s="32" t="str">
        <x:v>provisional_HQ_domain</x:v>
      </x:c>
      <x:c r="K98" s="32" t="str">
        <x:v>sp|P10090|WHITE_DROME Protein white OS=Drosophila melanogaster OX=7227 GN=w PE=1 SV=2</x:v>
      </x:c>
    </x:row>
    <x:row r="99">
      <x:c r="A99" s="32" t="str">
        <x:v>ABC</x:v>
      </x:c>
      <x:c r="B99" s="32" t="str">
        <x:v>TRINITY_DN1442_c0_g1</x:v>
      </x:c>
      <x:c r="C99" s="37" t="n">
        <x:v>2.0189470000000003</x:v>
      </x:c>
      <x:c r="D99" s="37" t="n">
        <x:v>4.206286</x:v>
      </x:c>
      <x:c r="E99" s="37" t="n">
        <x:v>4.898499</x:v>
      </x:c>
      <x:c r="F99" s="37" t="n">
        <x:v>4.056814</x:v>
      </x:c>
      <x:c r="G99" s="37" t="n">
        <x:v>3.50937</x:v>
      </x:c>
      <x:c r="H99" s="37" t="n">
        <x:v>1.8502159999999999</x:v>
      </x:c>
      <x:c r="I99" s="37" t="n">
        <x:f>AVERAGE(C99:H99)</x:f>
        <x:v>3.4233553333333333</x:v>
      </x:c>
      <x:c r="J99" s="32" t="str">
        <x:v>provisional_HQ_domain</x:v>
      </x:c>
      <x:c r="K99" s="32" t="str">
        <x:v>sp|Q8T674|ABCGK_DICDI ABC transporter G family member 20 OS=Dictyostelium discoideum OX=44689 GN=abcG20 PE=3 SV=1</x:v>
      </x:c>
    </x:row>
    <x:row r="100">
      <x:c r="A100" s="32" t="str">
        <x:v>ABC</x:v>
      </x:c>
      <x:c r="B100" s="32" t="str">
        <x:v>TRINITY_DN16854_c0_g1</x:v>
      </x:c>
      <x:c r="C100" s="37" t="n">
        <x:v>0.080382</x:v>
      </x:c>
      <x:c r="D100" s="37" t="n">
        <x:v>0.061393</x:v>
      </x:c>
      <x:c r="E100" s="37" t="n">
        <x:v>0.084627</x:v>
      </x:c>
      <x:c r="F100" s="37" t="n">
        <x:v>0.067196</x:v>
      </x:c>
      <x:c r="G100" s="37" t="n">
        <x:v>0.094155</x:v>
      </x:c>
      <x:c r="H100" s="37" t="n">
        <x:v>0.181649</x:v>
      </x:c>
      <x:c r="I100" s="37" t="n">
        <x:f>AVERAGE(C100:H100)</x:f>
        <x:v>0.09490033333333332</x:v>
      </x:c>
      <x:c r="J100" s="32" t="str">
        <x:v>review</x:v>
      </x:c>
      <x:c r="K100" s="32" t="str">
        <x:v>sp|P43245|MDR1_RAT ATP-dependent translocase ABCB1 OS=Rattus norvegicus OX=10116 GN=Abcb1 PE=2 SV=1</x:v>
      </x:c>
    </x:row>
    <x:row r="101">
      <x:c r="A101" s="32" t="str">
        <x:v>ABC</x:v>
      </x:c>
      <x:c r="B101" s="32" t="str">
        <x:v>TRINITY_DN16854_c0_g2</x:v>
      </x:c>
      <x:c r="C101" s="37" t="n">
        <x:v>0.08494499999999999</x:v>
      </x:c>
      <x:c r="D101" s="37" t="n">
        <x:v>0.104567</x:v>
      </x:c>
      <x:c r="E101" s="37" t="n">
        <x:v>0.086847</x:v>
      </x:c>
      <x:c r="F101" s="37" t="n">
        <x:v>0.126491</x:v>
      </x:c>
      <x:c r="G101" s="37" t="n">
        <x:v>0.045468</x:v>
      </x:c>
      <x:c r="H101" s="37" t="n">
        <x:v>0.07756</x:v>
      </x:c>
      <x:c r="I101" s="37" t="n">
        <x:f>AVERAGE(C101:H101)</x:f>
        <x:v>0.08764633333333333</x:v>
      </x:c>
      <x:c r="J101" s="32" t="str">
        <x:v>provisional_HQ_domain</x:v>
      </x:c>
      <x:c r="K101" s="32" t="str">
        <x:v>sp|Q00748|MDR65_DROME Multidrug resistance protein homolog 65 OS=Drosophila melanogaster OX=7227 GN=Mdr65 PE=1 SV=2</x:v>
      </x:c>
    </x:row>
    <x:row r="102">
      <x:c r="A102" s="32" t="str">
        <x:v>ABC</x:v>
      </x:c>
      <x:c r="B102" s="32" t="str">
        <x:v>TRINITY_DN16854_c0_g4</x:v>
      </x:c>
      <x:c r="C102" s="37" t="n">
        <x:v>0.116129</x:v>
      </x:c>
      <x:c r="D102" s="37" t="n">
        <x:v>0.143279</x:v>
      </x:c>
      <x:c r="E102" s="37" t="n">
        <x:v>0.208288</x:v>
      </x:c>
      <x:c r="F102" s="37" t="n">
        <x:v>0.092049</x:v>
      </x:c>
      <x:c r="G102" s="37" t="n">
        <x:v>0.085077</x:v>
      </x:c>
      <x:c r="H102" s="37" t="n">
        <x:v>0.10123</x:v>
      </x:c>
      <x:c r="I102" s="37" t="n">
        <x:f>AVERAGE(C102:H102)</x:f>
        <x:v>0.12434200000000001</x:v>
      </x:c>
      <x:c r="J102" s="32" t="str">
        <x:v>review</x:v>
      </x:c>
      <x:c r="K102" s="32" t="str">
        <x:v>sp|Q00449|MDR49_DROME Multidrug resistance protein homolog 49 OS=Drosophila melanogaster OX=7227 GN=Mdr49 PE=2 SV=2</x:v>
      </x:c>
    </x:row>
    <x:row r="103">
      <x:c r="A103" s="32" t="str">
        <x:v>ABC</x:v>
      </x:c>
      <x:c r="B103" s="32" t="str">
        <x:v>TRINITY_DN16854_c0_g5</x:v>
      </x:c>
      <x:c r="C103" s="37" t="n">
        <x:v>0</x:v>
      </x:c>
      <x:c r="D103" s="37" t="n">
        <x:v>0.193415</x:v>
      </x:c>
      <x:c r="E103" s="37" t="n">
        <x:v>0.080681</x:v>
      </x:c>
      <x:c r="F103" s="37" t="n">
        <x:v>0.238216</x:v>
      </x:c>
      <x:c r="G103" s="37" t="n">
        <x:v>0.108634</x:v>
      </x:c>
      <x:c r="H103" s="37" t="n">
        <x:v>0</x:v>
      </x:c>
      <x:c r="I103" s="37" t="n">
        <x:f>AVERAGE(C103:H103)</x:f>
        <x:v>0.103491</x:v>
      </x:c>
      <x:c r="J103" s="32" t="str">
        <x:v>review</x:v>
      </x:c>
      <x:c r="K103" s="32" t="str">
        <x:v>sp|Q00449|MDR49_DROME Multidrug resistance protein homolog 49 OS=Drosophila melanogaster OX=7227 GN=Mdr49 PE=2 SV=2</x:v>
      </x:c>
    </x:row>
    <x:row r="104">
      <x:c r="A104" s="32" t="str">
        <x:v>ABC</x:v>
      </x:c>
      <x:c r="B104" s="32" t="str">
        <x:v>TRINITY_DN18075_c0_g1</x:v>
      </x:c>
      <x:c r="C104" s="37" t="n">
        <x:v>0.166771</x:v>
      </x:c>
      <x:c r="D104" s="37" t="n">
        <x:v>0.556694</x:v>
      </x:c>
      <x:c r="E104" s="37" t="n">
        <x:v>0.912225</x:v>
      </x:c>
      <x:c r="F104" s="37" t="n">
        <x:v>0.816789</x:v>
      </x:c>
      <x:c r="G104" s="37" t="n">
        <x:v>0.476444</x:v>
      </x:c>
      <x:c r="H104" s="37" t="n">
        <x:v>0.223954</x:v>
      </x:c>
      <x:c r="I104" s="37" t="n">
        <x:f>AVERAGE(C104:H104)</x:f>
        <x:v>0.5254795</x:v>
      </x:c>
      <x:c r="J104" s="32" t="str">
        <x:v>review</x:v>
      </x:c>
      <x:c r="K104" s="32" t="str">
        <x:v>sp|Q9H222|ABCG5_HUMAN ATP-binding cassette sub-family G member 5 OS=Homo sapiens OX=9606 GN=ABCG5 PE=1 SV=1</x:v>
      </x:c>
    </x:row>
    <x:row r="105">
      <x:c r="A105" s="32" t="str">
        <x:v>ABC</x:v>
      </x:c>
      <x:c r="B105" s="32" t="str">
        <x:v>TRINITY_DN18452_c0_g1</x:v>
      </x:c>
      <x:c r="C105" s="37" t="n">
        <x:v>0.504035</x:v>
      </x:c>
      <x:c r="D105" s="37" t="n">
        <x:v>0.771927</x:v>
      </x:c>
      <x:c r="E105" s="37" t="n">
        <x:v>0.550454</x:v>
      </x:c>
      <x:c r="F105" s="37" t="n">
        <x:v>0.970993</x:v>
      </x:c>
      <x:c r="G105" s="37" t="n">
        <x:v>0.472932</x:v>
      </x:c>
      <x:c r="H105" s="37" t="n">
        <x:v>0.479729</x:v>
      </x:c>
      <x:c r="I105" s="37" t="n">
        <x:f>AVERAGE(C105:H105)</x:f>
        <x:v>0.6250116666666666</x:v>
      </x:c>
      <x:c r="J105" s="32" t="str">
        <x:v>provisional_HQ_domain</x:v>
      </x:c>
      <x:c r="K105" s="32" t="str">
        <x:v>sp|P91660|L259_DROME Probable multidrug resistance-associated protein lethal(2)03659 OS=Drosophila melanogaster OX=7227 GN=l(2)03659 PE=2 SV=4</x:v>
      </x:c>
    </x:row>
    <x:row r="106">
      <x:c r="A106" s="32" t="str">
        <x:v>ABC</x:v>
      </x:c>
      <x:c r="B106" s="32" t="str">
        <x:v>TRINITY_DN18570_c0_g1</x:v>
      </x:c>
      <x:c r="C106" s="37" t="n">
        <x:v>0.083872</x:v>
      </x:c>
      <x:c r="D106" s="37" t="n">
        <x:v>0.060324</x:v>
      </x:c>
      <x:c r="E106" s="37" t="n">
        <x:v>0.053054</x:v>
      </x:c>
      <x:c r="F106" s="37" t="n">
        <x:v>0</x:v>
      </x:c>
      <x:c r="G106" s="37" t="n">
        <x:v>0.040639</x:v>
      </x:c>
      <x:c r="H106" s="37" t="n">
        <x:v>0.34459700000000004</x:v>
      </x:c>
      <x:c r="I106" s="37" t="n">
        <x:f>AVERAGE(C106:H106)</x:f>
        <x:v>0.09708100000000001</x:v>
      </x:c>
      <x:c r="J106" s="32" t="str">
        <x:v>review</x:v>
      </x:c>
      <x:c r="K106" s="32" t="str">
        <x:v>sp|P21447|MDR1A_MOUSE ATP-dependent translocase ABCB1 OS=Mus musculus OX=10090 GN=Abcb1a PE=1 SV=3</x:v>
      </x:c>
    </x:row>
    <x:row r="107">
      <x:c r="A107" s="32" t="str">
        <x:v>ABC</x:v>
      </x:c>
      <x:c r="B107" s="32" t="str">
        <x:v>TRINITY_DN20355_c0_g1</x:v>
      </x:c>
      <x:c r="C107" s="37" t="n">
        <x:v>1.144471</x:v>
      </x:c>
      <x:c r="D107" s="37" t="n">
        <x:v>1.064304</x:v>
      </x:c>
      <x:c r="E107" s="37" t="n">
        <x:v>0.598611</x:v>
      </x:c>
      <x:c r="F107" s="37" t="n">
        <x:v>0.48431</x:v>
      </x:c>
      <x:c r="G107" s="37" t="n">
        <x:v>0.353588</x:v>
      </x:c>
      <x:c r="H107" s="37" t="n">
        <x:v>1.1756790000000001</x:v>
      </x:c>
      <x:c r="I107" s="37" t="n">
        <x:f>AVERAGE(C107:H107)</x:f>
        <x:v>0.8034938333333335</x:v>
      </x:c>
      <x:c r="J107" s="32" t="str">
        <x:v>provisional_HQ_domain</x:v>
      </x:c>
      <x:c r="K107" s="32" t="str">
        <x:v>sp|Q9VL32|SUR_DROME ATP-binding cassette sub-family C member Sur OS=Drosophila melanogaster OX=7227 GN=Sur PE=1 SV=4</x:v>
      </x:c>
    </x:row>
    <x:row r="108">
      <x:c r="A108" s="32" t="str">
        <x:v>ABC</x:v>
      </x:c>
      <x:c r="B108" s="32" t="str">
        <x:v>TRINITY_DN21667_c0_g1</x:v>
      </x:c>
      <x:c r="C108" s="37" t="n">
        <x:v>0.080968</x:v>
      </x:c>
      <x:c r="D108" s="37" t="n">
        <x:v>0.058811</x:v>
      </x:c>
      <x:c r="E108" s="37" t="n">
        <x:v>0.097957</x:v>
      </x:c>
      <x:c r="F108" s="37" t="n">
        <x:v>0.0432</x:v>
      </x:c>
      <x:c r="G108" s="37" t="n">
        <x:v>0.049934</x:v>
      </x:c>
      <x:c r="H108" s="37" t="n">
        <x:v>0.047224</x:v>
      </x:c>
      <x:c r="I108" s="37" t="n">
        <x:f>AVERAGE(C108:H108)</x:f>
        <x:v>0.06301566666666666</x:v>
      </x:c>
      <x:c r="J108" s="32" t="str">
        <x:v>review</x:v>
      </x:c>
      <x:c r="K108" s="32" t="str">
        <x:v>sp|Q8K448|ABCA5_MOUSE Cholesterol transporter ABCA5 OS=Mus musculus OX=10090 GN=Abca5 PE=1 SV=2</x:v>
      </x:c>
    </x:row>
    <x:row r="109">
      <x:c r="A109" s="32" t="str">
        <x:v>ABC</x:v>
      </x:c>
      <x:c r="B109" s="32" t="str">
        <x:v>TRINITY_DN21780_c0_g1</x:v>
      </x:c>
      <x:c r="C109" s="37" t="n">
        <x:v>0.133043</x:v>
      </x:c>
      <x:c r="D109" s="37" t="n">
        <x:v>0.128206</x:v>
      </x:c>
      <x:c r="E109" s="37" t="n">
        <x:v>0</x:v>
      </x:c>
      <x:c r="F109" s="37" t="n">
        <x:v>0.094849</x:v>
      </x:c>
      <x:c r="G109" s="37" t="n">
        <x:v>0.047797</x:v>
      </x:c>
      <x:c r="H109" s="37" t="n">
        <x:v>0.124574</x:v>
      </x:c>
      <x:c r="I109" s="37" t="n">
        <x:f>AVERAGE(C109:H109)</x:f>
        <x:v>0.08807816666666667</x:v>
      </x:c>
      <x:c r="J109" s="32" t="str">
        <x:v>review</x:v>
      </x:c>
      <x:c r="K109" s="32" t="str">
        <x:v>sp|D3ZCM3|ABCG4_RAT ATP-binding cassette subfamily G member 4 OS=Rattus norvegicus OX=10116 GN=Abcg4 PE=2 SV=1</x:v>
      </x:c>
    </x:row>
    <x:row r="110">
      <x:c r="A110" s="32" t="str">
        <x:v>ABC</x:v>
      </x:c>
      <x:c r="B110" s="32" t="str">
        <x:v>TRINITY_DN21780_c0_g2</x:v>
      </x:c>
      <x:c r="C110" s="37" t="n">
        <x:v>0.047744</x:v>
      </x:c>
      <x:c r="D110" s="37" t="n">
        <x:v>0.05965</x:v>
      </x:c>
      <x:c r="E110" s="37" t="n">
        <x:v>0</x:v>
      </x:c>
      <x:c r="F110" s="37" t="n">
        <x:v>0</x:v>
      </x:c>
      <x:c r="G110" s="37" t="n">
        <x:v>0.363663</x:v>
      </x:c>
      <x:c r="H110" s="37" t="n">
        <x:v>0</x:v>
      </x:c>
      <x:c r="I110" s="37" t="n">
        <x:f>AVERAGE(C110:H110)</x:f>
        <x:v>0.0785095</x:v>
      </x:c>
      <x:c r="J110" s="32" t="str">
        <x:v>review</x:v>
      </x:c>
      <x:c r="K110" s="32" t="str">
        <x:v>sp|Q9H172|ABCG4_HUMAN ATP-binding cassette sub-family G member 4 OS=Homo sapiens OX=9606 GN=ABCG4 PE=1 SV=2</x:v>
      </x:c>
    </x:row>
    <x:row r="111">
      <x:c r="A111" s="32" t="str">
        <x:v>ABC</x:v>
      </x:c>
      <x:c r="B111" s="32" t="str">
        <x:v>TRINITY_DN2350_c0_g1</x:v>
      </x:c>
      <x:c r="C111" s="37" t="n">
        <x:v>1.00708</x:v>
      </x:c>
      <x:c r="D111" s="37" t="n">
        <x:v>6.212059</x:v>
      </x:c>
      <x:c r="E111" s="37" t="n">
        <x:v>8.373244</x:v>
      </x:c>
      <x:c r="F111" s="37" t="n">
        <x:v>8.760536</x:v>
      </x:c>
      <x:c r="G111" s="37" t="n">
        <x:v>4.265139</x:v>
      </x:c>
      <x:c r="H111" s="37" t="n">
        <x:v>0.30161899999999997</x:v>
      </x:c>
      <x:c r="I111" s="37" t="n">
        <x:f>AVERAGE(C111:H111)</x:f>
        <x:v>4.819946166666666</x:v>
      </x:c>
      <x:c r="J111" s="32" t="str">
        <x:v>provisional_HQ_domain</x:v>
      </x:c>
      <x:c r="K111" s="32" t="str">
        <x:v>sp|Q55EH8|ABCGN_DICDI ABC transporter G family member 23 OS=Dictyostelium discoideum OX=44689 GN=abcG23 PE=3 SV=2</x:v>
      </x:c>
    </x:row>
    <x:row r="112">
      <x:c r="A112" s="32" t="str">
        <x:v>ABC</x:v>
      </x:c>
      <x:c r="B112" s="32" t="str">
        <x:v>TRINITY_DN254_c0_g1</x:v>
      </x:c>
      <x:c r="C112" s="37" t="n">
        <x:v>2.6885</x:v>
      </x:c>
      <x:c r="D112" s="37" t="n">
        <x:v>3.424195</x:v>
      </x:c>
      <x:c r="E112" s="37" t="n">
        <x:v>3.040273</x:v>
      </x:c>
      <x:c r="F112" s="37" t="n">
        <x:v>3.957062</x:v>
      </x:c>
      <x:c r="G112" s="37" t="n">
        <x:v>4.123938</x:v>
      </x:c>
      <x:c r="H112" s="37" t="n">
        <x:v>3.0562560000000003</x:v>
      </x:c>
      <x:c r="I112" s="37" t="n">
        <x:f>AVERAGE(C112:H112)</x:f>
        <x:v>3.3817040000000005</x:v>
      </x:c>
      <x:c r="J112" s="32" t="str">
        <x:v>provisional_HQ_domain</x:v>
      </x:c>
      <x:c r="K112" s="32" t="str">
        <x:v>sp|Q8R4P9|MRP7_MOUSE ATP-binding cassette sub-family C member 10 OS=Mus musculus OX=10090 GN=Abcc10 PE=1 SV=1</x:v>
      </x:c>
    </x:row>
    <x:row r="113">
      <x:c r="A113" s="32" t="str">
        <x:v>ABC</x:v>
      </x:c>
      <x:c r="B113" s="32" t="str">
        <x:v>TRINITY_DN264_c0_g1</x:v>
      </x:c>
      <x:c r="C113" s="37" t="n">
        <x:v>13.159771000000001</x:v>
      </x:c>
      <x:c r="D113" s="37" t="n">
        <x:v>13.638216</x:v>
      </x:c>
      <x:c r="E113" s="37" t="n">
        <x:v>16.574191000000003</x:v>
      </x:c>
      <x:c r="F113" s="37" t="n">
        <x:v>15.504973</x:v>
      </x:c>
      <x:c r="G113" s="37" t="n">
        <x:v>34.12347</x:v>
      </x:c>
      <x:c r="H113" s="37" t="n">
        <x:v>65.343603</x:v>
      </x:c>
      <x:c r="I113" s="37" t="n">
        <x:f>AVERAGE(C113:H113)</x:f>
        <x:v>26.390704</x:v>
      </x:c>
      <x:c r="J113" s="32" t="str">
        <x:v>review</x:v>
      </x:c>
      <x:c r="K113" s="32" t="str">
        <x:v>sp|Q99758|ABCA3_HUMAN Phospholipid-transporting ATPase ABCA3 OS=Homo sapiens OX=9606 GN=ABCA3 PE=1 SV=2</x:v>
      </x:c>
    </x:row>
    <x:row r="114">
      <x:c r="A114" s="32" t="str">
        <x:v>ABC</x:v>
      </x:c>
      <x:c r="B114" s="32" t="str">
        <x:v>TRINITY_DN30_c14_g1</x:v>
      </x:c>
      <x:c r="C114" s="37" t="n">
        <x:v>10.414166</x:v>
      </x:c>
      <x:c r="D114" s="37" t="n">
        <x:v>15.869789</x:v>
      </x:c>
      <x:c r="E114" s="37" t="n">
        <x:v>13.090997999999999</x:v>
      </x:c>
      <x:c r="F114" s="37" t="n">
        <x:v>14.701672</x:v>
      </x:c>
      <x:c r="G114" s="37" t="n">
        <x:v>19.9938</x:v>
      </x:c>
      <x:c r="H114" s="37" t="n">
        <x:v>27.261679</x:v>
      </x:c>
      <x:c r="I114" s="37" t="n">
        <x:f>AVERAGE(C114:H114)</x:f>
        <x:v>16.888684</x:v>
      </x:c>
      <x:c r="J114" s="32" t="str">
        <x:v>provisional_HQ_domain</x:v>
      </x:c>
      <x:c r="K114" s="32" t="str">
        <x:v>sp|P55096|ABCD3_MOUSE ATP-binding cassette sub-family D member 3 OS=Mus musculus OX=10090 GN=Abcd3 PE=1 SV=2</x:v>
      </x:c>
    </x:row>
    <x:row r="115">
      <x:c r="A115" s="32" t="str">
        <x:v>ABC</x:v>
      </x:c>
      <x:c r="B115" s="32" t="str">
        <x:v>TRINITY_DN332_c0_g1</x:v>
      </x:c>
      <x:c r="C115" s="37" t="n">
        <x:v>9.644035</x:v>
      </x:c>
      <x:c r="D115" s="37" t="n">
        <x:v>13.667025</x:v>
      </x:c>
      <x:c r="E115" s="37" t="n">
        <x:v>13.294213</x:v>
      </x:c>
      <x:c r="F115" s="37" t="n">
        <x:v>10.368015</x:v>
      </x:c>
      <x:c r="G115" s="37" t="n">
        <x:v>10.612119999999999</x:v>
      </x:c>
      <x:c r="H115" s="37" t="n">
        <x:v>15.655002</x:v>
      </x:c>
      <x:c r="I115" s="37" t="n">
        <x:f>AVERAGE(C115:H115)</x:f>
        <x:v>12.206735</x:v>
      </x:c>
      <x:c r="J115" s="32" t="str">
        <x:v>provisional_HQ_domain</x:v>
      </x:c>
      <x:c r="K115" s="32" t="str">
        <x:v>sp|P45844|ABCG1_HUMAN ATP-binding cassette sub-family G member 1 OS=Homo sapiens OX=9606 GN=ABCG1 PE=1 SV=3</x:v>
      </x:c>
    </x:row>
    <x:row r="116">
      <x:c r="A116" s="32" t="str">
        <x:v>ABC</x:v>
      </x:c>
      <x:c r="B116" s="32" t="str">
        <x:v>TRINITY_DN33353_c0_g1</x:v>
      </x:c>
      <x:c r="C116" s="37" t="n">
        <x:v>5.329509</x:v>
      </x:c>
      <x:c r="D116" s="37" t="n">
        <x:v>9.461519000000001</x:v>
      </x:c>
      <x:c r="E116" s="37" t="n">
        <x:v>3.58994</x:v>
      </x:c>
      <x:c r="F116" s="37" t="n">
        <x:v>8.473355</x:v>
      </x:c>
      <x:c r="G116" s="37" t="n">
        <x:v>10.226851</x:v>
      </x:c>
      <x:c r="H116" s="37" t="n">
        <x:v>8.011502</x:v>
      </x:c>
      <x:c r="I116" s="37" t="n">
        <x:f>AVERAGE(C116:H116)</x:f>
        <x:v>7.515446000000001</x:v>
      </x:c>
      <x:c r="J116" s="32" t="str">
        <x:v>provisional_HQ_domain</x:v>
      </x:c>
      <x:c r="K116" s="32" t="str">
        <x:v>sp|Q08D64|ABCB6_XENTR ATP-binding cassette sub-family B member 6 OS=Xenopus tropicalis OX=8364 GN=abcb6 PE=2 SV=1</x:v>
      </x:c>
    </x:row>
    <x:row r="117">
      <x:c r="A117" s="32" t="str">
        <x:v>ABC</x:v>
      </x:c>
      <x:c r="B117" s="32" t="str">
        <x:v>TRINITY_DN33832_c0_g1</x:v>
      </x:c>
      <x:c r="C117" s="37" t="n">
        <x:v>0.091484</x:v>
      </x:c>
      <x:c r="D117" s="37" t="n">
        <x:v>0.207676</x:v>
      </x:c>
      <x:c r="E117" s="37" t="n">
        <x:v>0.20251</x:v>
      </x:c>
      <x:c r="F117" s="37" t="n">
        <x:v>0.473426</x:v>
      </x:c>
      <x:c r="G117" s="37" t="n">
        <x:v>0.166966</x:v>
      </x:c>
      <x:c r="H117" s="37" t="n">
        <x:v>0.236956</x:v>
      </x:c>
      <x:c r="I117" s="37" t="n">
        <x:f>AVERAGE(C117:H117)</x:f>
        <x:v>0.2298363333333333</x:v>
      </x:c>
      <x:c r="J117" s="32" t="str">
        <x:v>review</x:v>
      </x:c>
      <x:c r="K117" s="32" t="str">
        <x:v>sp|Q99758|ABCA3_HUMAN Phospholipid-transporting ATPase ABCA3 OS=Homo sapiens OX=9606 GN=ABCA3 PE=1 SV=2</x:v>
      </x:c>
    </x:row>
    <x:row r="118">
      <x:c r="A118" s="32" t="str">
        <x:v>ABC</x:v>
      </x:c>
      <x:c r="B118" s="32" t="str">
        <x:v>TRINITY_DN35371_c0_g1</x:v>
      </x:c>
      <x:c r="C118" s="37" t="n">
        <x:v>0</x:v>
      </x:c>
      <x:c r="D118" s="37" t="n">
        <x:v>0.19364</x:v>
      </x:c>
      <x:c r="E118" s="37" t="n">
        <x:v>0.11149</x:v>
      </x:c>
      <x:c r="F118" s="37" t="n">
        <x:v>0.078711</x:v>
      </x:c>
      <x:c r="G118" s="37" t="n">
        <x:v>0</x:v>
      </x:c>
      <x:c r="H118" s="37" t="n">
        <x:v>0</x:v>
      </x:c>
      <x:c r="I118" s="37" t="n">
        <x:f>AVERAGE(C118:H118)</x:f>
        <x:v>0.0639735</x:v>
      </x:c>
      <x:c r="J118" s="32" t="str">
        <x:v>review</x:v>
      </x:c>
      <x:c r="K118" s="32" t="str">
        <x:v>sp|Q8K448|ABCA5_MOUSE Cholesterol transporter ABCA5 OS=Mus musculus OX=10090 GN=Abca5 PE=1 SV=2</x:v>
      </x:c>
    </x:row>
    <x:row r="119">
      <x:c r="A119" s="32" t="str">
        <x:v>ABC</x:v>
      </x:c>
      <x:c r="B119" s="32" t="str">
        <x:v>TRINITY_DN35371_c0_g2</x:v>
      </x:c>
      <x:c r="C119" s="37" t="n">
        <x:v>0.017645</x:v>
      </x:c>
      <x:c r="D119" s="37" t="n">
        <x:v>0.065113</x:v>
      </x:c>
      <x:c r="E119" s="37" t="n">
        <x:v>0.149404</x:v>
      </x:c>
      <x:c r="F119" s="37" t="n">
        <x:v>0.103997</x:v>
      </x:c>
      <x:c r="G119" s="37" t="n">
        <x:v>0.047287</x:v>
      </x:c>
      <x:c r="H119" s="37" t="n">
        <x:v>0.066059</x:v>
      </x:c>
      <x:c r="I119" s="37" t="n">
        <x:f>AVERAGE(C119:H119)</x:f>
        <x:v>0.07491750000000001</x:v>
      </x:c>
      <x:c r="J119" s="32" t="str">
        <x:v>review</x:v>
      </x:c>
      <x:c r="K119" s="32" t="str">
        <x:v>sp|Q8CF82|ABCA5_RAT Cholesterol transporter ABCA5 OS=Rattus norvegicus OX=10116 GN=Abca5 PE=2 SV=1</x:v>
      </x:c>
    </x:row>
    <x:row r="120">
      <x:c r="A120" s="32" t="str">
        <x:v>ABC</x:v>
      </x:c>
      <x:c r="B120" s="32" t="str">
        <x:v>TRINITY_DN37894_c0_g1</x:v>
      </x:c>
      <x:c r="C120" s="37" t="n">
        <x:v>0.049527</x:v>
      </x:c>
      <x:c r="D120" s="37" t="n">
        <x:v>0.060996</x:v>
      </x:c>
      <x:c r="E120" s="37" t="n">
        <x:v>0.051521</x:v>
      </x:c>
      <x:c r="F120" s="37" t="n">
        <x:v>0</x:v>
      </x:c>
      <x:c r="G120" s="37" t="n">
        <x:v>0.135431</x:v>
      </x:c>
      <x:c r="H120" s="37" t="n">
        <x:v>0</x:v>
      </x:c>
      <x:c r="I120" s="37" t="n">
        <x:f>AVERAGE(C120:H120)</x:f>
        <x:v>0.049579166666666674</x:v>
      </x:c>
      <x:c r="J120" s="32" t="str">
        <x:v>review</x:v>
      </x:c>
      <x:c r="K120" s="32" t="str">
        <x:v>sp|P41234|ABCA2_MOUSE ATP-binding cassette sub-family A member 2 OS=Mus musculus OX=10090 GN=Abca2 PE=1 SV=4</x:v>
      </x:c>
    </x:row>
    <x:row r="121">
      <x:c r="A121" s="32" t="str">
        <x:v>ABC</x:v>
      </x:c>
      <x:c r="B121" s="32" t="str">
        <x:v>TRINITY_DN4426_c0_g1</x:v>
      </x:c>
      <x:c r="C121" s="37" t="n">
        <x:v>1.7761449999999999</x:v>
      </x:c>
      <x:c r="D121" s="37" t="n">
        <x:v>3.304687</x:v>
      </x:c>
      <x:c r="E121" s="37" t="n">
        <x:v>2.145156</x:v>
      </x:c>
      <x:c r="F121" s="37" t="n">
        <x:v>2.993249</x:v>
      </x:c>
      <x:c r="G121" s="37" t="n">
        <x:v>3.855384</x:v>
      </x:c>
      <x:c r="H121" s="37" t="n">
        <x:v>4.456208999999999</x:v>
      </x:c>
      <x:c r="I121" s="37" t="n">
        <x:f>AVERAGE(C121:H121)</x:f>
        <x:v>3.088471666666667</x:v>
      </x:c>
      <x:c r="J121" s="32" t="str">
        <x:v>provisional_HQ_domain</x:v>
      </x:c>
      <x:c r="K121" s="32" t="str">
        <x:v>sp|Q9JI39|ABCBA_MOUSE ATP-binding cassette sub-family B member 10, mitochondrial OS=Mus musculus OX=10090 GN=Abcb10 PE=1 SV=1</x:v>
      </x:c>
    </x:row>
    <x:row r="122">
      <x:c r="A122" s="32" t="str">
        <x:v>ABC</x:v>
      </x:c>
      <x:c r="B122" s="32" t="str">
        <x:v>TRINITY_DN44328_c0_g1</x:v>
      </x:c>
      <x:c r="C122" s="37" t="n">
        <x:v>8.651382</x:v>
      </x:c>
      <x:c r="D122" s="37" t="n">
        <x:v>8.186729</x:v>
      </x:c>
      <x:c r="E122" s="37" t="n">
        <x:v>3.778477</x:v>
      </x:c>
      <x:c r="F122" s="37" t="n">
        <x:v>6.160405</x:v>
      </x:c>
      <x:c r="G122" s="37" t="n">
        <x:v>9.33408</x:v>
      </x:c>
      <x:c r="H122" s="37" t="n">
        <x:v>5.376177</x:v>
      </x:c>
      <x:c r="I122" s="37" t="n">
        <x:f>AVERAGE(C122:H122)</x:f>
        <x:v>6.914541666666666</x:v>
      </x:c>
      <x:c r="J122" s="32" t="str">
        <x:v>review</x:v>
      </x:c>
      <x:c r="K122" s="32" t="str">
        <x:v>sp|P91660|L259_DROME Probable multidrug resistance-associated protein lethal(2)03659 OS=Drosophila melanogaster OX=7227 GN=l(2)03659 PE=2 SV=4</x:v>
      </x:c>
    </x:row>
    <x:row r="123">
      <x:c r="A123" s="32" t="str">
        <x:v>ABC</x:v>
      </x:c>
      <x:c r="B123" s="32" t="str">
        <x:v>TRINITY_DN4518_c0_g1</x:v>
      </x:c>
      <x:c r="C123" s="37" t="n">
        <x:v>1.530235</x:v>
      </x:c>
      <x:c r="D123" s="37" t="n">
        <x:v>4.476188</x:v>
      </x:c>
      <x:c r="E123" s="37" t="n">
        <x:v>4.044308</x:v>
      </x:c>
      <x:c r="F123" s="37" t="n">
        <x:v>2.9931669999999997</x:v>
      </x:c>
      <x:c r="G123" s="37" t="n">
        <x:v>3.127432</x:v>
      </x:c>
      <x:c r="H123" s="37" t="n">
        <x:v>4.482114</x:v>
      </x:c>
      <x:c r="I123" s="37" t="n">
        <x:f>AVERAGE(C123:H123)</x:f>
        <x:v>3.4422406666666663</x:v>
      </x:c>
      <x:c r="J123" s="32" t="str">
        <x:v>provisional_HQ_domain</x:v>
      </x:c>
      <x:c r="K123" s="32" t="str">
        <x:v>sp|E9Q236|MRP4_MOUSE ATP-binding cassette sub-family C member 4 OS=Mus musculus OX=10090 GN=Abcc4 PE=1 SV=1</x:v>
      </x:c>
    </x:row>
    <x:row r="124">
      <x:c r="A124" s="32" t="str">
        <x:v>ABC</x:v>
      </x:c>
      <x:c r="B124" s="32" t="str">
        <x:v>TRINITY_DN4644_c0_g1</x:v>
      </x:c>
      <x:c r="C124" s="37" t="n">
        <x:v>1.713609</x:v>
      </x:c>
      <x:c r="D124" s="37" t="n">
        <x:v>0.24093</x:v>
      </x:c>
      <x:c r="E124" s="37" t="n">
        <x:v>0.959056</x:v>
      </x:c>
      <x:c r="F124" s="37" t="n">
        <x:v>0.208825</x:v>
      </x:c>
      <x:c r="G124" s="37" t="n">
        <x:v>0.64778</x:v>
      </x:c>
      <x:c r="H124" s="37" t="n">
        <x:v>0.107128</x:v>
      </x:c>
      <x:c r="I124" s="37" t="n">
        <x:f>AVERAGE(C124:H124)</x:f>
        <x:v>0.6462213333333333</x:v>
      </x:c>
      <x:c r="J124" s="32" t="str">
        <x:v>provisional_HQ_domain</x:v>
      </x:c>
      <x:c r="K124" s="32" t="str">
        <x:v>sp|Q64343|ABCG1_MOUSE ATP-binding cassette sub-family G member 1 OS=Mus musculus OX=10090 GN=Abcg1 PE=1 SV=1</x:v>
      </x:c>
    </x:row>
    <x:row r="125">
      <x:c r="A125" s="32" t="str">
        <x:v>ABC</x:v>
      </x:c>
      <x:c r="B125" s="32" t="str">
        <x:v>TRINITY_DN4709_c2_g1</x:v>
      </x:c>
      <x:c r="C125" s="37" t="n">
        <x:v>0.018241</x:v>
      </x:c>
      <x:c r="D125" s="37" t="n">
        <x:v>1.015667</x:v>
      </x:c>
      <x:c r="E125" s="37" t="n">
        <x:v>1.954729</x:v>
      </x:c>
      <x:c r="F125" s="37" t="n">
        <x:v>1.558943</x:v>
      </x:c>
      <x:c r="G125" s="37" t="n">
        <x:v>0.567433</x:v>
      </x:c>
      <x:c r="H125" s="37" t="n">
        <x:v>0.038337</x:v>
      </x:c>
      <x:c r="I125" s="37" t="n">
        <x:f>AVERAGE(C125:H125)</x:f>
        <x:v>0.8588916666666667</x:v>
      </x:c>
      <x:c r="J125" s="32" t="str">
        <x:v>provisional_HQ_domain</x:v>
      </x:c>
      <x:c r="K125" s="32" t="str">
        <x:v>sp|Q64343|ABCG1_MOUSE ATP-binding cassette sub-family G member 1 OS=Mus musculus OX=10090 GN=Abcg1 PE=1 SV=1</x:v>
      </x:c>
    </x:row>
    <x:row r="126">
      <x:c r="A126" s="32" t="str">
        <x:v>ABC</x:v>
      </x:c>
      <x:c r="B126" s="32" t="str">
        <x:v>TRINITY_DN4830_c1_g1</x:v>
      </x:c>
      <x:c r="C126" s="37" t="n">
        <x:v>2.474412</x:v>
      </x:c>
      <x:c r="D126" s="37" t="n">
        <x:v>3.0379140000000002</x:v>
      </x:c>
      <x:c r="E126" s="37" t="n">
        <x:v>2.4954549999999998</x:v>
      </x:c>
      <x:c r="F126" s="37" t="n">
        <x:v>3.342111</x:v>
      </x:c>
      <x:c r="G126" s="37" t="n">
        <x:v>3.686238</x:v>
      </x:c>
      <x:c r="H126" s="37" t="n">
        <x:v>3.6695070000000003</x:v>
      </x:c>
      <x:c r="I126" s="37" t="n">
        <x:f>AVERAGE(C126:H126)</x:f>
        <x:v>3.1176061666666666</x:v>
      </x:c>
      <x:c r="J126" s="32" t="str">
        <x:v>review</x:v>
      </x:c>
      <x:c r="K126" s="32" t="str">
        <x:v>sp|Q6P542|ABCF1_MOUSE ATP-binding cassette sub-family F member 1 OS=Mus musculus OX=10090 GN=Abcf1 PE=1 SV=1</x:v>
      </x:c>
    </x:row>
    <x:row r="127">
      <x:c r="A127" s="32" t="str">
        <x:v>ABC</x:v>
      </x:c>
      <x:c r="B127" s="32" t="str">
        <x:v>TRINITY_DN48819_c0_g1</x:v>
      </x:c>
      <x:c r="C127" s="37" t="n">
        <x:v>0.086747</x:v>
      </x:c>
      <x:c r="D127" s="37" t="n">
        <x:v>0.106673</x:v>
      </x:c>
      <x:c r="E127" s="37" t="n">
        <x:v>0</x:v>
      </x:c>
      <x:c r="F127" s="37" t="n">
        <x:v>0</x:v>
      </x:c>
      <x:c r="G127" s="37" t="n">
        <x:v>0.055947</x:v>
      </x:c>
      <x:c r="H127" s="37" t="n">
        <x:v>0.053874</x:v>
      </x:c>
      <x:c r="I127" s="37" t="n">
        <x:f>AVERAGE(C127:H127)</x:f>
        <x:v>0.050540166666666664</x:v>
      </x:c>
      <x:c r="J127" s="32" t="str">
        <x:v>review</x:v>
      </x:c>
      <x:c r="K127" s="32" t="str">
        <x:v>sp|Q86UQ4|ABCAD_HUMAN ATP-binding cassette sub-family A member 13 OS=Homo sapiens OX=9606 GN=ABCA13 PE=1 SV=4</x:v>
      </x:c>
    </x:row>
    <x:row r="128">
      <x:c r="A128" s="32" t="str">
        <x:v>ABC</x:v>
      </x:c>
      <x:c r="B128" s="32" t="str">
        <x:v>TRINITY_DN49408_c0_g1</x:v>
      </x:c>
      <x:c r="C128" s="37" t="n">
        <x:v>0</x:v>
      </x:c>
      <x:c r="D128" s="37" t="n">
        <x:v>0.133642</x:v>
      </x:c>
      <x:c r="E128" s="37" t="n">
        <x:v>0.076863</x:v>
      </x:c>
      <x:c r="F128" s="37" t="n">
        <x:v>0.210079</x:v>
      </x:c>
      <x:c r="G128" s="37" t="n">
        <x:v>0.045363</x:v>
      </x:c>
      <x:c r="H128" s="37" t="n">
        <x:v>0</x:v>
      </x:c>
      <x:c r="I128" s="37" t="n">
        <x:f>AVERAGE(C128:H128)</x:f>
        <x:v>0.07765783333333333</x:v>
      </x:c>
      <x:c r="J128" s="32" t="str">
        <x:v>review</x:v>
      </x:c>
      <x:c r="K128" s="32" t="str">
        <x:v>sp|P45844|ABCG1_HUMAN ATP-binding cassette sub-family G member 1 OS=Homo sapiens OX=9606 GN=ABCG1 PE=1 SV=3</x:v>
      </x:c>
    </x:row>
    <x:row r="129">
      <x:c r="A129" s="32" t="str">
        <x:v>ABC</x:v>
      </x:c>
      <x:c r="B129" s="32" t="str">
        <x:v>TRINITY_DN5175_c0_g1</x:v>
      </x:c>
      <x:c r="C129" s="37" t="n">
        <x:v>1.78144</x:v>
      </x:c>
      <x:c r="D129" s="37" t="n">
        <x:v>0.436737</x:v>
      </x:c>
      <x:c r="E129" s="37" t="n">
        <x:v>1.065753</x:v>
      </x:c>
      <x:c r="F129" s="37" t="n">
        <x:v>1.572031</x:v>
      </x:c>
      <x:c r="G129" s="37" t="n">
        <x:v>0.928906</x:v>
      </x:c>
      <x:c r="H129" s="37" t="n">
        <x:v>0.48626199999999997</x:v>
      </x:c>
      <x:c r="I129" s="37" t="n">
        <x:f>AVERAGE(C129:H129)</x:f>
        <x:v>1.0451881666666667</x:v>
      </x:c>
      <x:c r="J129" s="32" t="str">
        <x:v>review</x:v>
      </x:c>
      <x:c r="K129" s="32" t="str">
        <x:v>sp|Q55EH8|ABCGN_DICDI ABC transporter G family member 23 OS=Dictyostelium discoideum OX=44689 GN=abcG23 PE=3 SV=2</x:v>
      </x:c>
    </x:row>
    <x:row r="130">
      <x:c r="A130" s="32" t="str">
        <x:v>ABC</x:v>
      </x:c>
      <x:c r="B130" s="32" t="str">
        <x:v>TRINITY_DN5424_c0_g1</x:v>
      </x:c>
      <x:c r="C130" s="37" t="n">
        <x:v>4.162274</x:v>
      </x:c>
      <x:c r="D130" s="37" t="n">
        <x:v>7.924821</x:v>
      </x:c>
      <x:c r="E130" s="37" t="n">
        <x:v>3.777871</x:v>
      </x:c>
      <x:c r="F130" s="37" t="n">
        <x:v>9.915191</x:v>
      </x:c>
      <x:c r="G130" s="37" t="n">
        <x:v>8.201632</x:v>
      </x:c>
      <x:c r="H130" s="37" t="n">
        <x:v>8.247986</x:v>
      </x:c>
      <x:c r="I130" s="37" t="n">
        <x:f>AVERAGE(C130:H130)</x:f>
        <x:v>7.038295833333333</x:v>
      </x:c>
      <x:c r="J130" s="32" t="str">
        <x:v>provisional_HQ_domain</x:v>
      </x:c>
      <x:c r="K130" s="32" t="str">
        <x:v>sp|F1M3J4|MRP4_RAT ATP-binding cassette subfamily C member 4 OS=Rattus norvegicus OX=10116 GN=Abcc4 PE=1 SV=3</x:v>
      </x:c>
    </x:row>
    <x:row r="131">
      <x:c r="A131" s="32" t="str">
        <x:v>ABC</x:v>
      </x:c>
      <x:c r="B131" s="32" t="str">
        <x:v>TRINITY_DN54_c0_g1</x:v>
      </x:c>
      <x:c r="C131" s="37" t="n">
        <x:v>7.144372</x:v>
      </x:c>
      <x:c r="D131" s="37" t="n">
        <x:v>9.320689999999999</x:v>
      </x:c>
      <x:c r="E131" s="37" t="n">
        <x:v>6.780251</x:v>
      </x:c>
      <x:c r="F131" s="37" t="n">
        <x:v>8.252545</x:v>
      </x:c>
      <x:c r="G131" s="37" t="n">
        <x:v>9.891909</x:v>
      </x:c>
      <x:c r="H131" s="37" t="n">
        <x:v>6.133763</x:v>
      </x:c>
      <x:c r="I131" s="37" t="n">
        <x:f>AVERAGE(C131:H131)</x:f>
        <x:v>7.920588333333334</x:v>
      </x:c>
      <x:c r="J131" s="32" t="str">
        <x:v>provisional_HQ_domain</x:v>
      </x:c>
      <x:c r="K131" s="32" t="str">
        <x:v>sp|E9Q236|MRP4_MOUSE ATP-binding cassette sub-family C member 4 OS=Mus musculus OX=10090 GN=Abcc4 PE=1 SV=1</x:v>
      </x:c>
    </x:row>
    <x:row r="132">
      <x:c r="A132" s="32" t="str">
        <x:v>ABC</x:v>
      </x:c>
      <x:c r="B132" s="32" t="str">
        <x:v>TRINITY_DN58313_c0_g1</x:v>
      </x:c>
      <x:c r="C132" s="37" t="n">
        <x:v>0</x:v>
      </x:c>
      <x:c r="D132" s="37" t="n">
        <x:v>0.222164</x:v>
      </x:c>
      <x:c r="E132" s="37" t="n">
        <x:v>0</x:v>
      </x:c>
      <x:c r="F132" s="37" t="n">
        <x:v>0</x:v>
      </x:c>
      <x:c r="G132" s="37" t="n">
        <x:v>0</x:v>
      </x:c>
      <x:c r="H132" s="37" t="n">
        <x:v>0</x:v>
      </x:c>
      <x:c r="I132" s="37" t="n">
        <x:f>AVERAGE(C132:H132)</x:f>
        <x:v>0.037027333333333336</x:v>
      </x:c>
      <x:c r="J132" s="32" t="str">
        <x:v>review</x:v>
      </x:c>
      <x:c r="K132" s="32" t="str">
        <x:v>sp|Q7TNJ2|ABCA7_RAT ATP-binding cassette sub-family A member 7 OS=Rattus norvegicus OX=10116 GN=Abca7 PE=1 SV=1</x:v>
      </x:c>
    </x:row>
    <x:row r="133">
      <x:c r="A133" s="32" t="str">
        <x:v>ABC</x:v>
      </x:c>
      <x:c r="B133" s="32" t="str">
        <x:v>TRINITY_DN662_c0_g1</x:v>
      </x:c>
      <x:c r="C133" s="37" t="n">
        <x:v>1.957451</x:v>
      </x:c>
      <x:c r="D133" s="37" t="n">
        <x:v>2.6105840000000002</x:v>
      </x:c>
      <x:c r="E133" s="37" t="n">
        <x:v>2.646461</x:v>
      </x:c>
      <x:c r="F133" s="37" t="n">
        <x:v>3.196561</x:v>
      </x:c>
      <x:c r="G133" s="37" t="n">
        <x:v>3.785438</x:v>
      </x:c>
      <x:c r="H133" s="37" t="n">
        <x:v>2.860192</x:v>
      </x:c>
      <x:c r="I133" s="37" t="n">
        <x:f>AVERAGE(C133:H133)</x:f>
        <x:v>2.8427811666666667</x:v>
      </x:c>
      <x:c r="J133" s="32" t="str">
        <x:v>provisional_HQ_domain</x:v>
      </x:c>
      <x:c r="K133" s="32" t="str">
        <x:v>sp|Q5F364|MRP1_CHICK Multidrug resistance-associated protein 1 OS=Gallus gallus OX=9031 GN=ABCC1 PE=2 SV=1</x:v>
      </x:c>
    </x:row>
    <x:row r="134">
      <x:c r="A134" s="32" t="str">
        <x:v>ABC</x:v>
      </x:c>
      <x:c r="B134" s="32" t="str">
        <x:v>TRINITY_DN662_c0_g4</x:v>
      </x:c>
      <x:c r="C134" s="37" t="n">
        <x:v>9.493530999999999</x:v>
      </x:c>
      <x:c r="D134" s="37" t="n">
        <x:v>30.415137</x:v>
      </x:c>
      <x:c r="E134" s="37" t="n">
        <x:v>28.211461</x:v>
      </x:c>
      <x:c r="F134" s="37" t="n">
        <x:v>28.329359999999998</x:v>
      </x:c>
      <x:c r="G134" s="37" t="n">
        <x:v>37.536121</x:v>
      </x:c>
      <x:c r="H134" s="37" t="n">
        <x:v>33.499821</x:v>
      </x:c>
      <x:c r="I134" s="37" t="n">
        <x:f>AVERAGE(C134:H134)</x:f>
        <x:v>27.914238499999996</x:v>
      </x:c>
      <x:c r="J134" s="32" t="str">
        <x:v>provisional_HQ_domain</x:v>
      </x:c>
      <x:c r="K134" s="32" t="str">
        <x:v>sp|F1M3J4|MRP4_RAT ATP-binding cassette subfamily C member 4 OS=Rattus norvegicus OX=10116 GN=Abcc4 PE=1 SV=3</x:v>
      </x:c>
    </x:row>
    <x:row r="135">
      <x:c r="A135" s="32" t="str">
        <x:v>ABC</x:v>
      </x:c>
      <x:c r="B135" s="32" t="str">
        <x:v>TRINITY_DN7214_c0_g1</x:v>
      </x:c>
      <x:c r="C135" s="37" t="n">
        <x:v>9.089773</x:v>
      </x:c>
      <x:c r="D135" s="37" t="n">
        <x:v>21.401363</x:v>
      </x:c>
      <x:c r="E135" s="37" t="n">
        <x:v>7.333459</x:v>
      </x:c>
      <x:c r="F135" s="37" t="n">
        <x:v>18.557253</x:v>
      </x:c>
      <x:c r="G135" s="37" t="n">
        <x:v>16.381285000000002</x:v>
      </x:c>
      <x:c r="H135" s="37" t="n">
        <x:v>21.20481</x:v>
      </x:c>
      <x:c r="I135" s="37" t="n">
        <x:f>AVERAGE(C135:H135)</x:f>
        <x:v>15.661323833333332</x:v>
      </x:c>
      <x:c r="J135" s="32" t="str">
        <x:v>provisional_HQ_domain</x:v>
      </x:c>
      <x:c r="K135" s="32" t="str">
        <x:v>sp|Q64343|ABCG1_MOUSE ATP-binding cassette sub-family G member 1 OS=Mus musculus OX=10090 GN=Abcg1 PE=1 SV=1</x:v>
      </x:c>
    </x:row>
    <x:row r="136">
      <x:c r="A136" s="32" t="str">
        <x:v>ABC</x:v>
      </x:c>
      <x:c r="B136" s="32" t="str">
        <x:v>TRINITY_DN9037_c0_g1</x:v>
      </x:c>
      <x:c r="C136" s="37" t="n">
        <x:v>1.276958</x:v>
      </x:c>
      <x:c r="D136" s="37" t="n">
        <x:v>0.476406</x:v>
      </x:c>
      <x:c r="E136" s="37" t="n">
        <x:v>0.405211</x:v>
      </x:c>
      <x:c r="F136" s="37" t="n">
        <x:v>0.43401</x:v>
      </x:c>
      <x:c r="G136" s="37" t="n">
        <x:v>0.515723</x:v>
      </x:c>
      <x:c r="H136" s="37" t="n">
        <x:v>0.354954</x:v>
      </x:c>
      <x:c r="I136" s="37" t="n">
        <x:f>AVERAGE(C136:H136)</x:f>
        <x:v>0.5772103333333333</x:v>
      </x:c>
      <x:c r="J136" s="32" t="str">
        <x:v>provisional_HQ_domain</x:v>
      </x:c>
      <x:c r="K136" s="32" t="str">
        <x:v>sp|P82451|ABCC9_RABIT ATP-binding cassette sub-family C member 9 OS=Oryctolagus cuniculus OX=9986 GN=ABCC9 PE=2 SV=1</x:v>
      </x:c>
    </x:row>
    <x:row r="137">
      <x:c r="A137" s="32" t="str">
        <x:v>ABC</x:v>
      </x:c>
      <x:c r="B137" s="32" t="str">
        <x:v>TRINITY_DN9474_c0_g1</x:v>
      </x:c>
      <x:c r="C137" s="37" t="n">
        <x:v>0.235903</x:v>
      </x:c>
      <x:c r="D137" s="37" t="n">
        <x:v>0.367467</x:v>
      </x:c>
      <x:c r="E137" s="37" t="n">
        <x:v>0.184306</x:v>
      </x:c>
      <x:c r="F137" s="37" t="n">
        <x:v>0.42238699999999996</x:v>
      </x:c>
      <x:c r="G137" s="37" t="n">
        <x:v>0.21613600000000002</x:v>
      </x:c>
      <x:c r="H137" s="37" t="n">
        <x:v>0.132467</x:v>
      </x:c>
      <x:c r="I137" s="37" t="n">
        <x:f>AVERAGE(C137:H137)</x:f>
        <x:v>0.2597776666666667</x:v>
      </x:c>
      <x:c r="J137" s="32" t="str">
        <x:v>provisional_HQ_domain</x:v>
      </x:c>
      <x:c r="K137" s="32" t="str">
        <x:v>sp|P91660|L259_DROME Probable multidrug resistance-associated protein lethal(2)03659 OS=Drosophila melanogaster OX=7227 GN=l(2)03659 PE=2 SV=4</x:v>
      </x:c>
    </x:row>
    <x:row r="138">
      <x:c r="A138" s="32" t="str">
        <x:v>ABC</x:v>
      </x:c>
      <x:c r="B138" s="32" t="str">
        <x:v>TRINITY_DN9946_c0_g2</x:v>
      </x:c>
      <x:c r="C138" s="37" t="n">
        <x:v>2.44002</x:v>
      </x:c>
      <x:c r="D138" s="37" t="n">
        <x:v>3.152135</x:v>
      </x:c>
      <x:c r="E138" s="37" t="n">
        <x:v>1.3118239999999999</x:v>
      </x:c>
      <x:c r="F138" s="37" t="n">
        <x:v>4.111879</x:v>
      </x:c>
      <x:c r="G138" s="37" t="n">
        <x:v>4.969614</x:v>
      </x:c>
      <x:c r="H138" s="37" t="n">
        <x:v>6.191727</x:v>
      </x:c>
      <x:c r="I138" s="37" t="n">
        <x:f>AVERAGE(C138:H138)</x:f>
        <x:v>3.6961998333333335</x:v>
      </x:c>
      <x:c r="J138" s="32" t="str">
        <x:v>provisional_HQ_domain</x:v>
      </x:c>
      <x:c r="K138" s="32" t="str">
        <x:v>sp|Q91WA9|ABCG4_MOUSE ATP-binding cassette subfamily G member 4 OS=Mus musculus OX=10090 GN=Abcg4 PE=1 SV=2</x:v>
      </x:c>
    </x:row>
    <x:row r="139">
      <x:c r="A139" s="32" t="str">
        <x:v>ABC</x:v>
      </x:c>
      <x:c r="B139" s="32" t="str">
        <x:v>TRINITY_DN9986_c0_g1</x:v>
      </x:c>
      <x:c r="C139" s="37" t="n">
        <x:v>0.628551</x:v>
      </x:c>
      <x:c r="D139" s="37" t="n">
        <x:v>0.6244</x:v>
      </x:c>
      <x:c r="E139" s="37" t="n">
        <x:v>1.365656</x:v>
      </x:c>
      <x:c r="F139" s="37" t="n">
        <x:v>1.210124</x:v>
      </x:c>
      <x:c r="G139" s="37" t="n">
        <x:v>1.501003</x:v>
      </x:c>
      <x:c r="H139" s="37" t="n">
        <x:v>1.134659</x:v>
      </x:c>
      <x:c r="I139" s="37" t="n">
        <x:f>AVERAGE(C139:H139)</x:f>
        <x:v>1.0773988333333333</x:v>
      </x:c>
      <x:c r="J139" s="32" t="str">
        <x:v>review</x:v>
      </x:c>
      <x:c r="K139" s="32" t="str">
        <x:v>sp|Q5F364|MRP1_CHICK Multidrug resistance-associated protein 1 OS=Gallus gallus OX=9031 GN=ABCC1 PE=2 SV=1</x:v>
      </x:c>
    </x:row>
  </x:sheetData>
  <x:mergeCells>
    <x:mergeCell ref="A1:K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3799991607666" hidden="0" customWidth="1"/>
    <x:col min="2" max="2" width="100" hidden="0" customWidth="1"/>
  </x:cols>
  <x:sheetData>
    <x:row r="1" ht="30" customHeight="1">
      <x:c r="A1" s="31" t="str">
        <x:v>Methods and interpretation</x:v>
      </x:c>
      <x:c r="B1" s="31"/>
      <x:c r="C1" s="31"/>
      <x:c r="D1" s="31"/>
      <x:c r="E1" s="31"/>
      <x:c r="F1" s="31"/>
      <x:c r="G1" s="31"/>
      <x:c r="H1" s="31"/>
    </x:row>
    <x:row r="2">
      <x:c r="A2" s="32"/>
      <x:c r="B2" s="32"/>
      <x:c r="C2" s="32"/>
      <x:c r="D2" s="32"/>
      <x:c r="E2" s="32"/>
      <x:c r="F2" s="32"/>
      <x:c r="G2" s="32"/>
      <x:c r="H2" s="32"/>
    </x:row>
    <x:row r="3">
      <x:c r="A3" s="34" t="str">
        <x:v>Item</x:v>
      </x:c>
      <x:c r="B3" s="36" t="str">
        <x:v>Description</x:v>
      </x:c>
      <x:c r="C3" s="32"/>
      <x:c r="D3" s="32"/>
      <x:c r="E3" s="32"/>
      <x:c r="F3" s="32"/>
      <x:c r="G3" s="32"/>
      <x:c r="H3" s="32"/>
    </x:row>
    <x:row r="4">
      <x:c r="A4" s="48" t="str">
        <x:v>TPM source</x:v>
      </x:c>
      <x:c r="B4" s="48" t="str">
        <x:v>a002: 06_DEGsAnalysis/results/TPM_gene_all_withMeanSD.tsv; 179,924 expression rows.</x:v>
      </x:c>
      <x:c r="C4" s="32"/>
      <x:c r="D4" s="32"/>
      <x:c r="E4" s="32"/>
      <x:c r="F4" s="32"/>
      <x:c r="G4" s="32"/>
      <x:c r="H4" s="32"/>
    </x:row>
    <x:row r="5">
      <x:c r="A5" s="48" t="str">
        <x:v>Annotation source</x:v>
      </x:c>
      <x:c r="B5" s="48" t="str">
        <x:v>a002: nr_sprot_annotated_tx.tsv; 20,505 annotation rows matched to the TPM table.</x:v>
      </x:c>
      <x:c r="C5" s="32"/>
      <x:c r="D5" s="32"/>
      <x:c r="E5" s="32"/>
      <x:c r="F5" s="32"/>
      <x:c r="G5" s="32"/>
      <x:c r="H5" s="32"/>
    </x:row>
    <x:row r="6">
      <x:c r="A6" s="48" t="str">
        <x:v>Functional panel</x:v>
      </x:c>
      <x:c r="B6" s="48" t="str">
        <x:v>Predefined independent biological functions. The highest-expression Swiss-Prot-annotated transcript was retained as a visible representative; family distributions are reported separately.</x:v>
      </x:c>
      <x:c r="C6" s="32"/>
      <x:c r="D6" s="32"/>
      <x:c r="E6" s="32"/>
      <x:c r="F6" s="32"/>
      <x:c r="G6" s="32"/>
      <x:c r="H6" s="32"/>
    </x:row>
    <x:row r="7">
      <x:c r="A7" s="48" t="str">
        <x:v>Random control</x:v>
      </x:c>
      <x:c r="B7" s="48" t="str">
        <x:v>Fixed seed 20260822; four annotated expressed transcripts sampled from each expression quintile.</x:v>
      </x:c>
      <x:c r="C7" s="32"/>
      <x:c r="D7" s="32"/>
      <x:c r="E7" s="32"/>
      <x:c r="F7" s="32"/>
      <x:c r="G7" s="32"/>
      <x:c r="H7" s="32"/>
    </x:row>
    <x:row r="8">
      <x:c r="A8" s="48" t="str">
        <x:v>Means</x:v>
      </x:c>
      <x:c r="B8" s="48" t="str">
        <x:v>Arithmetic mean of the six visible TPM values; Dan and Mul means use three samples each.</x:v>
      </x:c>
      <x:c r="C8" s="32"/>
      <x:c r="D8" s="32"/>
      <x:c r="E8" s="32"/>
      <x:c r="F8" s="32"/>
      <x:c r="G8" s="32"/>
      <x:c r="H8" s="32"/>
    </x:row>
    <x:row r="9">
      <x:c r="A9" s="48" t="str">
        <x:v>Scale</x:v>
      </x:c>
      <x:c r="B9" s="48" t="str">
        <x:v>log10(TPM+1) is used only for visualization. Untransformed TPM remains in the data sheets.</x:v>
      </x:c>
      <x:c r="C9" s="32"/>
      <x:c r="D9" s="32"/>
      <x:c r="E9" s="32"/>
      <x:c r="F9" s="32"/>
      <x:c r="G9" s="32"/>
      <x:c r="H9" s="32"/>
    </x:row>
    <x:row r="10">
      <x:c r="A10" s="48" t="str">
        <x:v>Interpretive limit</x:v>
      </x:c>
      <x:c r="B10" s="48" t="str">
        <x:v>Whole-body/stage-composite abundance cannot identify tissue specificity. A high digestive-enzyme TPM can reflect midgut dominance.</x:v>
      </x:c>
      <x:c r="C10" s="32"/>
      <x:c r="D10" s="32"/>
      <x:c r="E10" s="32"/>
      <x:c r="F10" s="32"/>
      <x:c r="G10" s="32"/>
      <x:c r="H10" s="32"/>
    </x:row>
    <x:row r="11">
      <x:c r="A11" s="48" t="str">
        <x:v>De novo caveat</x:v>
      </x:c>
      <x:c r="B11" s="48" t="str">
        <x:v>Multiple Trinity isoforms/fragments can map to one conserved function; Candidate count is therefore not a genomic copy-number estimate.</x:v>
      </x:c>
      <x:c r="C11" s="32"/>
      <x:c r="D11" s="32"/>
      <x:c r="E11" s="32"/>
      <x:c r="F11" s="32"/>
      <x:c r="G11" s="32"/>
      <x:c r="H11" s="32"/>
    </x:row>
    <x:row r="12">
      <x:c r="A12" s="48" t="str">
        <x:v>Missing markers</x:v>
      </x:c>
      <x:c r="B12" s="48" t="str">
        <x:v>Absence from this Swiss-Prot-matched panel is not evidence of biological absence; Cecropin/defensin and some endocrine receptors require broader annotation searches.</x:v>
      </x:c>
      <x:c r="C12" s="32"/>
      <x:c r="D12" s="32"/>
      <x:c r="E12" s="32"/>
      <x:c r="F12" s="32"/>
      <x:c r="G12" s="32"/>
      <x:c r="H12" s="32"/>
    </x:row>
  </x:sheetData>
  <x:mergeCells>
    <x:mergeCell ref="A1:H1"/>
  </x:mergeCells>
  <x:pageMargins left="0.7" right="0.7" top="0.75" bottom="0.75" header="0.3" footer="0.3"/>
</x:worksheet>
</file>