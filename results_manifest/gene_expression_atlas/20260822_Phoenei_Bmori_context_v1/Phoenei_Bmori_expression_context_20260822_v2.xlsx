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df8e37f05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ss_species_context" sheetId="1" r:id="Raa4b0698cb694603"/>
    <x:sheet xmlns:r="http://schemas.openxmlformats.org/officeDocument/2006/relationships" name="Bmori_Functional" sheetId="2" r:id="R2367177519af41a5"/>
    <x:sheet xmlns:r="http://schemas.openxmlformats.org/officeDocument/2006/relationships" name="Bmori_Distributions" sheetId="3" r:id="Rbc25e4862e964568"/>
    <x:sheet xmlns:r="http://schemas.openxmlformats.org/officeDocument/2006/relationships" name="Bmori_Random" sheetId="4" r:id="R3baf5af91fab4e53"/>
    <x:sheet xmlns:r="http://schemas.openxmlformats.org/officeDocument/2006/relationships" name="CYP_Context" sheetId="5" r:id="R954f0b2972084669"/>
    <x:sheet xmlns:r="http://schemas.openxmlformats.org/officeDocument/2006/relationships" name="Comparability" sheetId="6" r:id="R5e465703ce404ed9"/>
    <x:sheet xmlns:r="http://schemas.openxmlformats.org/officeDocument/2006/relationships" name="Methods" sheetId="7" r:id="R41c9c33fd9c5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7324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2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</x:fills>
  <x:borders count="4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bba842d6d4bd3" /><Relationship Type="http://schemas.openxmlformats.org/officeDocument/2006/relationships/theme" Target="/xl/theme/theme1.xml" Id="Rc6b5dbe37c8b4ca2" /><Relationship Type="http://schemas.openxmlformats.org/officeDocument/2006/relationships/sharedStrings" Target="/xl/sharedStrings.xml" Id="R086270412fe44f53" /><Relationship Type="http://schemas.openxmlformats.org/officeDocument/2006/relationships/worksheet" Target="/xl/worksheets/sheet1.xml" Id="Raa4b0698cb694603" /><Relationship Type="http://schemas.openxmlformats.org/officeDocument/2006/relationships/worksheet" Target="/xl/worksheets/sheet2.xml" Id="R2367177519af41a5" /><Relationship Type="http://schemas.openxmlformats.org/officeDocument/2006/relationships/worksheet" Target="/xl/worksheets/sheet3.xml" Id="Rbc25e4862e964568" /><Relationship Type="http://schemas.openxmlformats.org/officeDocument/2006/relationships/worksheet" Target="/xl/worksheets/sheet4.xml" Id="R3baf5af91fab4e53" /><Relationship Type="http://schemas.openxmlformats.org/officeDocument/2006/relationships/worksheet" Target="/xl/worksheets/sheet5.xml" Id="R954f0b2972084669" /><Relationship Type="http://schemas.openxmlformats.org/officeDocument/2006/relationships/worksheet" Target="/xl/worksheets/sheet6.xml" Id="R5e465703ce404ed9" /><Relationship Type="http://schemas.openxmlformats.org/officeDocument/2006/relationships/worksheet" Target="/xl/worksheets/sheet7.xml" Id="R41c9c33fd9c548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e89fcdf71a45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Functional expression layers (log10 TPM+1; contextual comparison)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P. hoenei</c:v>
          </c:tx>
          <c:cat>
            <c:strRef>
              <c:f>'Cross_species_context'!$A$31:$A$51</c:f>
              <c:strCache>
                <c:ptCount val="0"/>
              </c:strCache>
            </c:strRef>
          </c:cat>
          <c:val>
            <c:numRef>
              <c:f>'Cross_species_context'!$B$31:$B$51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B. mori midgut</c:v>
          </c:tx>
          <c:cat>
            <c:strRef>
              <c:f>'Cross_species_context'!$A$31:$A$51</c:f>
              <c:strCache>
                <c:ptCount val="0"/>
              </c:strCache>
            </c:strRef>
          </c:cat>
          <c:val>
            <c:numRef>
              <c:f>'Cross_species_context'!$C$31:$C$51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e89fcdf71a45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786637818f47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.130000114440918" hidden="0" customWidth="1"/>
    <x:col min="3" max="3" width="11.380000114440918" hidden="0" customWidth="1"/>
    <x:col min="4" max="4" width="10" hidden="0" customWidth="1"/>
    <x:col min="5" max="5" width="7.380000114440918" hidden="0" customWidth="1"/>
    <x:col min="6" max="6" width="7.75" hidden="0" customWidth="1"/>
    <x:col min="7" max="7" width="6.130000114440918" hidden="0" customWidth="1"/>
    <x:col min="8" max="8" width="6.130000114440918" hidden="0" customWidth="1"/>
  </x:cols>
  <x:sheetData>
    <x:row r="1" ht="30" customHeight="1">
      <x:c r="A1" s="16" t="str">
        <x:v>P. hoenei–B. mori expression context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30" customHeight="1">
      <x:c r="A3" s="18" t="str">
        <x:v>Context only: B. mori is mulberry-fed midgut; P. hoenei tissue/reference aggregation is not matched. Compare expression layers and ranks, not a species or diet effect.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>
      <x:c r="A5" s="19" t="str">
        <x:v>Marker</x:v>
      </x:c>
      <x:c r="B5" s="20" t="str">
        <x:v>Group</x:v>
      </x:c>
      <x:c r="C5" s="20" t="str">
        <x:v>P. hoenei TPM</x:v>
      </x:c>
      <x:c r="D5" s="20" t="str">
        <x:v>B. mori TPM</x:v>
      </x:c>
      <x:c r="E5" s="20" t="str">
        <x:v>B/P ratio</x:v>
      </x:c>
      <x:c r="F5" s="20" t="str">
        <x:v>log2(B/P)</x:v>
      </x:c>
      <x:c r="G5" s="20" t="str">
        <x:v>log10 P</x:v>
      </x:c>
      <x:c r="H5" s="21" t="str">
        <x:v>log10 B</x:v>
      </x:c>
      <x:c r="I5" s="17"/>
      <x:c r="J5" s="17"/>
      <x:c r="K5" s="17"/>
      <x:c r="L5" s="17"/>
      <x:c r="M5" s="17"/>
      <x:c r="N5" s="17"/>
    </x:row>
    <x:row r="6">
      <x:c r="A6" s="17" t="str">
        <x:v>ATP synthase</x:v>
      </x:c>
      <x:c r="B6" s="17" t="str">
        <x:v>Energy</x:v>
      </x:c>
      <x:c r="C6" s="22" t="n">
        <x:v>313.40932116666664</x:v>
      </x:c>
      <x:c r="D6" s="22" t="n">
        <x:v>1086.5528753333333</x:v>
      </x:c>
      <x:c r="E6" s="22" t="n">
        <x:v>3.466881174078163</x:v>
      </x:c>
      <x:c r="F6" s="22" t="n">
        <x:v>1.7936383896108448</x:v>
      </x:c>
      <x:c r="G6" s="22" t="n">
        <x:f>IF(C6="","",LOG10(C6+1))</x:f>
        <x:v>2.49749541291203</x:v>
      </x:c>
      <x:c r="H6" s="22" t="n">
        <x:f>IF(D6="","",LOG10(D6+1))</x:f>
        <x:v>3.0364503809437</x:v>
      </x:c>
      <x:c r="I6" s="17"/>
      <x:c r="J6" s="17"/>
      <x:c r="K6" s="17"/>
      <x:c r="L6" s="17"/>
      <x:c r="M6" s="17"/>
      <x:c r="N6" s="17"/>
    </x:row>
    <x:row r="7">
      <x:c r="A7" s="17" t="str">
        <x:v>Actin</x:v>
      </x:c>
      <x:c r="B7" s="17" t="str">
        <x:v>Housekeeping</x:v>
      </x:c>
      <x:c r="C7" s="22" t="n">
        <x:v>990.8820274999999</x:v>
      </x:c>
      <x:c r="D7" s="22" t="n">
        <x:v>1062.3562016666667</x:v>
      </x:c>
      <x:c r="E7" s="22" t="n">
        <x:v>1.0721318705789795</x:v>
      </x:c>
      <x:c r="F7" s="22" t="n">
        <x:v>0.10048236599128559</x:v>
      </x:c>
      <x:c r="G7" s="22" t="n">
        <x:f>IF(C7="","",LOG10(C7+1))</x:f>
        <x:v>2.99646002109316</x:v>
      </x:c>
      <x:c r="H7" s="22" t="n">
        <x:f>IF(D7="","",LOG10(D7+1))</x:f>
        <x:v>3.0266787682913</x:v>
      </x:c>
      <x:c r="I7" s="17"/>
      <x:c r="J7" s="17"/>
      <x:c r="K7" s="17"/>
      <x:c r="L7" s="17"/>
      <x:c r="M7" s="17"/>
      <x:c r="N7" s="17"/>
    </x:row>
    <x:row r="8">
      <x:c r="A8" s="17" t="str">
        <x:v>Alpha-amylase</x:v>
      </x:c>
      <x:c r="B8" s="17" t="str">
        <x:v>Digestion</x:v>
      </x:c>
      <x:c r="C8" s="22" t="n">
        <x:v>1493.0752974999998</x:v>
      </x:c>
      <x:c r="D8" s="22" t="n">
        <x:v>111.54283349999999</x:v>
      </x:c>
      <x:c r="E8" s="22" t="n">
        <x:v>0.07470677044002197</x:v>
      </x:c>
      <x:c r="F8" s="22" t="n">
        <x:v>-3.742617193913842</x:v>
      </x:c>
      <x:c r="G8" s="22" t="n">
        <x:f>IF(C8="","",LOG10(C8+1))</x:f>
        <x:v>3.17437248534063</x:v>
      </x:c>
      <x:c r="H8" s="22" t="n">
        <x:f>IF(D8="","",LOG10(D8+1))</x:f>
        <x:v>2.05131784522284</x:v>
      </x:c>
      <x:c r="I8" s="17"/>
      <x:c r="J8" s="17"/>
      <x:c r="K8" s="17"/>
      <x:c r="L8" s="17"/>
      <x:c r="M8" s="17"/>
      <x:c r="N8" s="17"/>
    </x:row>
    <x:row r="9">
      <x:c r="A9" s="17" t="str">
        <x:v>Alpha/Beta tubulin</x:v>
      </x:c>
      <x:c r="B9" s="17" t="str">
        <x:v>Housekeeping</x:v>
      </x:c>
      <x:c r="C9" s="22" t="n">
        <x:v>673.0403603333333</x:v>
      </x:c>
      <x:c r="D9" s="22" t="n">
        <x:v>479.68743850000004</x:v>
      </x:c>
      <x:c r="E9" s="22" t="n">
        <x:v>0.71271719613134</x:v>
      </x:c>
      <x:c r="F9" s="22" t="n">
        <x:v>-0.48859836138038876</x:v>
      </x:c>
      <x:c r="G9" s="22" t="n">
        <x:f>IF(C9="","",LOG10(C9+1))</x:f>
        <x:v>2.82868590209209</x:v>
      </x:c>
      <x:c r="H9" s="22" t="n">
        <x:f>IF(D9="","",LOG10(D9+1))</x:f>
        <x:v>2.68186277313465</x:v>
      </x:c>
      <x:c r="I9" s="17"/>
      <x:c r="J9" s="17"/>
      <x:c r="K9" s="17"/>
      <x:c r="L9" s="17"/>
      <x:c r="M9" s="17"/>
      <x:c r="N9" s="17"/>
    </x:row>
    <x:row r="10">
      <x:c r="A10" s="17" t="str">
        <x:v>Aminopeptidase N</x:v>
      </x:c>
      <x:c r="B10" s="17" t="str">
        <x:v>Digestion</x:v>
      </x:c>
      <x:c r="C10" s="22" t="n">
        <x:v>107.704321</x:v>
      </x:c>
      <x:c r="D10" s="22" t="n">
        <x:v>332.0163195</x:v>
      </x:c>
      <x:c r="E10" s="22" t="n">
        <x:v>3.082664803206921</x:v>
      </x:c>
      <x:c r="F10" s="22" t="n">
        <x:v>1.6241780250137547</x:v>
      </x:c>
      <x:c r="G10" s="22" t="n">
        <x:f>IF(C10="","",LOG10(C10+1))</x:f>
        <x:v>2.03624680764801</x:v>
      </x:c>
      <x:c r="H10" s="22" t="n">
        <x:f>IF(D10="","",LOG10(D10+1))</x:f>
        <x:v>2.52246551667489</x:v>
      </x:c>
      <x:c r="I10" s="17"/>
      <x:c r="J10" s="17"/>
      <x:c r="K10" s="17"/>
      <x:c r="L10" s="17"/>
      <x:c r="M10" s="17"/>
      <x:c r="N10" s="17"/>
    </x:row>
    <x:row r="11">
      <x:c r="A11" s="17" t="str">
        <x:v>Broad-complex</x:v>
      </x:c>
      <x:c r="B11" s="17" t="str">
        <x:v>Development</x:v>
      </x:c>
      <x:c r="C11" s="22" t="n">
        <x:v>7.730256833333333</x:v>
      </x:c>
      <x:c r="D11" s="22" t="n">
        <x:v>1.6890975</x:v>
      </x:c>
      <x:c r="E11" s="22" t="n">
        <x:v>0.21850470643051725</x:v>
      </x:c>
      <x:c r="F11" s="22" t="n">
        <x:v>-2.1942637402377274</x:v>
      </x:c>
      <x:c r="G11" s="22" t="n">
        <x:f>IF(C11="","",LOG10(C11+1))</x:f>
        <x:v>0.941027020298779</x:v>
      </x:c>
      <x:c r="H11" s="22" t="n">
        <x:f>IF(D11="","",LOG10(D11+1))</x:f>
        <x:v>0.429606548948604</x:v>
      </x:c>
      <x:c r="I11" s="17"/>
      <x:c r="J11" s="17"/>
      <x:c r="K11" s="17"/>
      <x:c r="L11" s="17"/>
      <x:c r="M11" s="17"/>
      <x:c r="N11" s="17"/>
    </x:row>
    <x:row r="12">
      <x:c r="A12" s="17" t="str">
        <x:v>Carboxypeptidase</x:v>
      </x:c>
      <x:c r="B12" s="17" t="str">
        <x:v>Digestion</x:v>
      </x:c>
      <x:c r="C12" s="22" t="n">
        <x:v>1476.3021865</x:v>
      </x:c>
      <x:c r="D12" s="22" t="n">
        <x:v>217.2863205</x:v>
      </x:c>
      <x:c r="E12" s="22" t="n">
        <x:v>0.14718282102876232</x:v>
      </x:c>
      <x:c r="F12" s="22" t="n">
        <x:v>-2.764318802996062</x:v>
      </x:c>
      <x:c r="G12" s="22" t="n">
        <x:f>IF(C12="","",LOG10(C12+1))</x:f>
        <x:v>3.16946934061052</x:v>
      </x:c>
      <x:c r="H12" s="22" t="n">
        <x:f>IF(D12="","",LOG10(D12+1))</x:f>
        <x:v>2.33902652032887</x:v>
      </x:c>
      <x:c r="I12" s="17"/>
      <x:c r="J12" s="17"/>
      <x:c r="K12" s="17"/>
      <x:c r="L12" s="17"/>
      <x:c r="M12" s="17"/>
      <x:c r="N12" s="17"/>
    </x:row>
    <x:row r="13">
      <x:c r="A13" s="17" t="str">
        <x:v>Cecropin</x:v>
      </x:c>
      <x:c r="B13" s="17" t="str">
        <x:v>Immunity</x:v>
      </x:c>
      <x:c r="C13" s="22"/>
      <x:c r="D13" s="22" t="n">
        <x:v>47.9917135</x:v>
      </x:c>
      <x:c r="E13" s="22"/>
      <x:c r="F13" s="22"/>
      <x:c r="G13" s="22" t="str">
        <x:f>IF(C13="","",LOG10(C13+1))</x:f>
      </x:c>
      <x:c r="H13" s="22" t="n">
        <x:f>IF(D13="","",LOG10(D13+1))</x:f>
        <x:v>1.69012262930285</x:v>
      </x:c>
      <x:c r="I13" s="17"/>
      <x:c r="J13" s="17"/>
      <x:c r="K13" s="17"/>
      <x:c r="L13" s="17"/>
      <x:c r="M13" s="17"/>
      <x:c r="N13" s="17"/>
    </x:row>
    <x:row r="14">
      <x:c r="A14" s="17" t="str">
        <x:v>Chymotrypsin</x:v>
      </x:c>
      <x:c r="B14" s="17" t="str">
        <x:v>Digestion</x:v>
      </x:c>
      <x:c r="C14" s="22" t="n">
        <x:v>5529.2222295</x:v>
      </x:c>
      <x:c r="D14" s="22" t="n">
        <x:v>1283.4910029999999</x:v>
      </x:c>
      <x:c r="E14" s="22" t="n">
        <x:v>0.2321286701323387</x:v>
      </x:c>
      <x:c r="F14" s="22" t="n">
        <x:v>-2.1070033744310663</x:v>
      </x:c>
      <x:c r="G14" s="22" t="n">
        <x:f>IF(C14="","",LOG10(C14+1))</x:f>
        <x:v>3.74274258358433</x:v>
      </x:c>
      <x:c r="H14" s="22" t="n">
        <x:f>IF(D14="","",LOG10(D14+1))</x:f>
        <x:v>3.10873106667077</x:v>
      </x:c>
      <x:c r="I14" s="17"/>
      <x:c r="J14" s="17"/>
      <x:c r="K14" s="17"/>
      <x:c r="L14" s="17"/>
      <x:c r="M14" s="17"/>
      <x:c r="N14" s="17"/>
    </x:row>
    <x:row r="15">
      <x:c r="A15" s="17" t="str">
        <x:v>Defensin</x:v>
      </x:c>
      <x:c r="B15" s="17" t="str">
        <x:v>Immunity</x:v>
      </x:c>
      <x:c r="C15" s="22"/>
      <x:c r="D15" s="22" t="n">
        <x:v>18.567582333333334</x:v>
      </x:c>
      <x:c r="E15" s="22"/>
      <x:c r="F15" s="22"/>
      <x:c r="G15" s="22" t="str">
        <x:f>IF(C15="","",LOG10(C15+1))</x:f>
      </x:c>
      <x:c r="H15" s="22" t="n">
        <x:f>IF(D15="","",LOG10(D15+1))</x:f>
        <x:v>1.2915371698504</x:v>
      </x:c>
      <x:c r="I15" s="17"/>
      <x:c r="J15" s="17"/>
      <x:c r="K15" s="17"/>
      <x:c r="L15" s="17"/>
      <x:c r="M15" s="17"/>
      <x:c r="N15" s="17"/>
    </x:row>
    <x:row r="16">
      <x:c r="A16" s="17" t="str">
        <x:v>Digestive lipase</x:v>
      </x:c>
      <x:c r="B16" s="17" t="str">
        <x:v>Digestion</x:v>
      </x:c>
      <x:c r="C16" s="22" t="n">
        <x:v>6149.029525333334</x:v>
      </x:c>
      <x:c r="D16" s="22" t="n">
        <x:v>14244.058427999998</x:v>
      </x:c>
      <x:c r="E16" s="22" t="n">
        <x:v>2.316472602597861</x:v>
      </x:c>
      <x:c r="F16" s="22" t="n">
        <x:v>1.2119296194184799</x:v>
      </x:c>
      <x:c r="G16" s="22" t="n">
        <x:f>IF(C16="","",LOG10(C16+1))</x:f>
        <x:v>3.78887720076055</x:v>
      </x:c>
      <x:c r="H16" s="22" t="n">
        <x:f>IF(D16="","",LOG10(D16+1))</x:f>
        <x:v>4.15366423489567</x:v>
      </x:c>
      <x:c r="I16" s="17"/>
      <x:c r="J16" s="17"/>
      <x:c r="K16" s="17"/>
      <x:c r="L16" s="17"/>
      <x:c r="M16" s="17"/>
      <x:c r="N16" s="17"/>
    </x:row>
    <x:row r="17">
      <x:c r="A17" s="17" t="str">
        <x:v>Ecdysone receptor</x:v>
      </x:c>
      <x:c r="B17" s="17" t="str">
        <x:v>Development</x:v>
      </x:c>
      <x:c r="C17" s="22"/>
      <x:c r="D17" s="22" t="n">
        <x:v>0.4420053333333333</x:v>
      </x:c>
      <x:c r="E17" s="22"/>
      <x:c r="F17" s="22"/>
      <x:c r="G17" s="22" t="str">
        <x:f>IF(C17="","",LOG10(C17+1))</x:f>
      </x:c>
      <x:c r="H17" s="22" t="n">
        <x:f>IF(D17="","",LOG10(D17+1))</x:f>
        <x:v>0.158966866647594</x:v>
      </x:c>
      <x:c r="I17" s="17"/>
      <x:c r="J17" s="17"/>
      <x:c r="K17" s="17"/>
      <x:c r="L17" s="17"/>
      <x:c r="M17" s="17"/>
      <x:c r="N17" s="17"/>
    </x:row>
    <x:row r="18">
      <x:c r="A18" s="17" t="str">
        <x:v>Elongation factor 1-alpha</x:v>
      </x:c>
      <x:c r="B18" s="17" t="str">
        <x:v>Housekeeping</x:v>
      </x:c>
      <x:c r="C18" s="22" t="n">
        <x:v>854.8769578333334</x:v>
      </x:c>
      <x:c r="D18" s="22" t="n">
        <x:v>1182.3051458333332</x:v>
      </x:c>
      <x:c r="E18" s="22" t="n">
        <x:v>1.3830120638996508</x:v>
      </x:c>
      <x:c r="F18" s="22" t="n">
        <x:v>0.4678137410526086</x:v>
      </x:c>
      <x:c r="G18" s="22" t="n">
        <x:f>IF(C18="","",LOG10(C18+1))</x:f>
        <x:v>2.93241133433264</x:v>
      </x:c>
      <x:c r="H18" s="22" t="n">
        <x:f>IF(D18="","",LOG10(D18+1))</x:f>
        <x:v>3.07309675313415</x:v>
      </x:c>
      <x:c r="I18" s="17"/>
      <x:c r="J18" s="17"/>
      <x:c r="K18" s="17"/>
      <x:c r="L18" s="17"/>
      <x:c r="M18" s="17"/>
      <x:c r="N18" s="17"/>
    </x:row>
    <x:row r="19">
      <x:c r="A19" s="17" t="str">
        <x:v>GAPDH</x:v>
      </x:c>
      <x:c r="B19" s="17" t="str">
        <x:v>Housekeeping</x:v>
      </x:c>
      <x:c r="C19" s="22" t="n">
        <x:v>205.19089816666667</x:v>
      </x:c>
      <x:c r="D19" s="22" t="n">
        <x:v>526.1136325</x:v>
      </x:c>
      <x:c r="E19" s="22" t="n">
        <x:v>2.5640203205926966</x:v>
      </x:c>
      <x:c r="F19" s="22" t="n">
        <x:v>1.3584076957718414</x:v>
      </x:c>
      <x:c r="G19" s="22" t="n">
        <x:f>IF(C19="","",LOG10(C19+1))</x:f>
        <x:v>2.31426949041774</x:v>
      </x:c>
      <x:c r="H19" s="22" t="n">
        <x:f>IF(D19="","",LOG10(D19+1))</x:f>
        <x:v>2.72190424832075</x:v>
      </x:c>
      <x:c r="I19" s="17"/>
      <x:c r="J19" s="17"/>
      <x:c r="K19" s="17"/>
      <x:c r="L19" s="17"/>
      <x:c r="M19" s="17"/>
      <x:c r="N19" s="17"/>
    </x:row>
    <x:row r="20">
      <x:c r="A20" s="17" t="str">
        <x:v>Juvenile hormone esterase</x:v>
      </x:c>
      <x:c r="B20" s="17" t="str">
        <x:v>Development</x:v>
      </x:c>
      <x:c r="C20" s="22" t="n">
        <x:v>208.46051916666667</x:v>
      </x:c>
      <x:c r="D20" s="22" t="n">
        <x:v>65.6256205</x:v>
      </x:c>
      <x:c r="E20" s="22" t="n">
        <x:v>0.3148107889318434</x:v>
      </x:c>
      <x:c r="F20" s="22" t="n">
        <x:v>-1.66744311035789</x:v>
      </x:c>
      <x:c r="G20" s="22" t="n">
        <x:f>IF(C20="","",LOG10(C20+1))</x:f>
        <x:v>2.32110217563695</x:v>
      </x:c>
      <x:c r="H20" s="22" t="n">
        <x:f>IF(D20="","",LOG10(D20+1))</x:f>
        <x:v>1.82364126673964</x:v>
      </x:c>
      <x:c r="I20" s="17"/>
      <x:c r="J20" s="17"/>
      <x:c r="K20" s="17"/>
      <x:c r="L20" s="17"/>
      <x:c r="M20" s="17"/>
      <x:c r="N20" s="17"/>
    </x:row>
    <x:row r="21">
      <x:c r="A21" s="17" t="str">
        <x:v>Juvenile hormone-binding protein</x:v>
      </x:c>
      <x:c r="B21" s="17" t="str">
        <x:v>Development</x:v>
      </x:c>
      <x:c r="C21" s="22" t="n">
        <x:v>5.5197255</x:v>
      </x:c>
      <x:c r="D21" s="22" t="n">
        <x:v>0.07187133333333333</x:v>
      </x:c>
      <x:c r="E21" s="22" t="n">
        <x:v>0.013020816584689461</x:v>
      </x:c>
      <x:c r="F21" s="22" t="n">
        <x:v>-6.26303626156763</x:v>
      </x:c>
      <x:c r="G21" s="22" t="n">
        <x:f>IF(C21="","",LOG10(C21+1))</x:f>
        <x:v>0.814229311016448</x:v>
      </x:c>
      <x:c r="H21" s="22" t="n">
        <x:f>IF(D21="","",LOG10(D21+1))</x:f>
        <x:v>0.0301426560871104</x:v>
      </x:c>
      <x:c r="I21" s="17"/>
      <x:c r="J21" s="17"/>
      <x:c r="K21" s="17"/>
      <x:c r="L21" s="17"/>
      <x:c r="M21" s="17"/>
      <x:c r="N21" s="17"/>
    </x:row>
    <x:row r="22">
      <x:c r="A22" s="17" t="str">
        <x:v>Lysozyme</x:v>
      </x:c>
      <x:c r="B22" s="17" t="str">
        <x:v>Immunity</x:v>
      </x:c>
      <x:c r="C22" s="22" t="n">
        <x:v>90.32309383333335</x:v>
      </x:c>
      <x:c r="D22" s="22" t="n">
        <x:v>6.182566666666666</x:v>
      </x:c>
      <x:c r="E22" s="22" t="n">
        <x:v>0.06844945632702648</x:v>
      </x:c>
      <x:c r="F22" s="22" t="n">
        <x:v>-3.868817107128916</x:v>
      </x:c>
      <x:c r="G22" s="22" t="n">
        <x:f>IF(C22="","",LOG10(C22+1))</x:f>
        <x:v>1.96058061604624</x:v>
      </x:c>
      <x:c r="H22" s="22" t="n">
        <x:f>IF(D22="","",LOG10(D22+1))</x:f>
        <x:v>0.856279665688154</x:v>
      </x:c>
      <x:c r="I22" s="17"/>
      <x:c r="J22" s="17"/>
      <x:c r="K22" s="17"/>
      <x:c r="L22" s="17"/>
      <x:c r="M22" s="17"/>
      <x:c r="N22" s="17"/>
    </x:row>
    <x:row r="23">
      <x:c r="A23" s="17" t="str">
        <x:v>PGRP</x:v>
      </x:c>
      <x:c r="B23" s="17" t="str">
        <x:v>Immunity</x:v>
      </x:c>
      <x:c r="C23" s="22" t="n">
        <x:v>1503.802173</x:v>
      </x:c>
      <x:c r="D23" s="22" t="n">
        <x:v>2530.2223176666666</x:v>
      </x:c>
      <x:c r="E23" s="22" t="n">
        <x:v>1.682549981038408</x:v>
      </x:c>
      <x:c r="F23" s="22" t="n">
        <x:v>0.7506493614924986</x:v>
      </x:c>
      <x:c r="G23" s="22" t="n">
        <x:f>IF(C23="","",LOG10(C23+1))</x:f>
        <x:v>3.17747940968296</x:v>
      </x:c>
      <x:c r="H23" s="22" t="n">
        <x:f>IF(D23="","",LOG10(D23+1))</x:f>
        <x:v>3.40333029098823</x:v>
      </x:c>
      <x:c r="I23" s="17"/>
      <x:c r="J23" s="17"/>
      <x:c r="K23" s="17"/>
      <x:c r="L23" s="17"/>
      <x:c r="M23" s="17"/>
      <x:c r="N23" s="17"/>
    </x:row>
    <x:row r="24">
      <x:c r="A24" s="17" t="str">
        <x:v>Prophenoloxidase</x:v>
      </x:c>
      <x:c r="B24" s="17" t="str">
        <x:v>Immunity</x:v>
      </x:c>
      <x:c r="C24" s="22"/>
      <x:c r="D24" s="22" t="n">
        <x:v>3.4956275</x:v>
      </x:c>
      <x:c r="E24" s="22"/>
      <x:c r="F24" s="22"/>
      <x:c r="G24" s="22" t="str">
        <x:f>IF(C24="","",LOG10(C24+1))</x:f>
      </x:c>
      <x:c r="H24" s="22" t="n">
        <x:f>IF(D24="","",LOG10(D24+1))</x:f>
        <x:v>0.652790319154307</x:v>
      </x:c>
      <x:c r="I24" s="17"/>
      <x:c r="J24" s="17"/>
      <x:c r="K24" s="17"/>
      <x:c r="L24" s="17"/>
      <x:c r="M24" s="17"/>
      <x:c r="N24" s="17"/>
    </x:row>
    <x:row r="25">
      <x:c r="A25" s="17" t="str">
        <x:v>Ribosomal protein eL32 (RP49-like)</x:v>
      </x:c>
      <x:c r="B25" s="17" t="str">
        <x:v>Housekeeping</x:v>
      </x:c>
      <x:c r="C25" s="22" t="n">
        <x:v>659.4483113333333</x:v>
      </x:c>
      <x:c r="D25" s="22" t="n">
        <x:v>2488.984852</x:v>
      </x:c>
      <x:c r="E25" s="22" t="n">
        <x:v>3.774344113441645</x:v>
      </x:c>
      <x:c r="F25" s="22" t="n">
        <x:v>1.9162259619219149</x:v>
      </x:c>
      <x:c r="G25" s="22" t="n">
        <x:f>IF(C25="","",LOG10(C25+1))</x:f>
        <x:v>2.81983883409117</x:v>
      </x:c>
      <x:c r="H25" s="22" t="n">
        <x:f>IF(D25="","",LOG10(D25+1))</x:f>
        <x:v>3.39619670504239</x:v>
      </x:c>
      <x:c r="I25" s="17"/>
      <x:c r="J25" s="17"/>
      <x:c r="K25" s="17"/>
      <x:c r="L25" s="17"/>
      <x:c r="M25" s="17"/>
      <x:c r="N25" s="17"/>
    </x:row>
    <x:row r="26">
      <x:c r="A26" s="17" t="str">
        <x:v>Trypsin</x:v>
      </x:c>
      <x:c r="B26" s="17" t="str">
        <x:v>Digestion</x:v>
      </x:c>
      <x:c r="C26" s="22" t="n">
        <x:v>13305.297113499999</x:v>
      </x:c>
      <x:c r="D26" s="22" t="n">
        <x:v>18719.552137833332</x:v>
      </x:c>
      <x:c r="E26" s="22" t="n">
        <x:v>1.4069247742570024</x:v>
      </x:c>
      <x:c r="F26" s="22" t="n">
        <x:v>0.49254519232162997</x:v>
      </x:c>
      <x:c r="G26" s="22" t="n">
        <x:f>IF(C26="","",LOG10(C26+1))</x:f>
        <x:v>4.12405721648813</x:v>
      </x:c>
      <x:c r="H26" s="22" t="n">
        <x:f>IF(D26="","",LOG10(D26+1))</x:f>
        <x:v>4.27231865353019</x:v>
      </x:c>
      <x:c r="I26" s="17"/>
      <x:c r="J26" s="17"/>
      <x:c r="K26" s="17"/>
      <x:c r="L26" s="17"/>
      <x:c r="M26" s="17"/>
      <x:c r="N26" s="17"/>
    </x:row>
    <x:row r="30">
      <x:c r="A30" s="25" t="str">
        <x:v>Marker</x:v>
      </x:c>
      <x:c r="B30" s="25" t="str">
        <x:v>P. hoenei</x:v>
      </x:c>
      <x:c r="C30" s="25" t="str">
        <x:v>B. mori midgut</x:v>
      </x:c>
    </x:row>
    <x:row r="31">
      <x:c r="A31" t="str">
        <x:f>A6</x:f>
        <x:v>ATP synthase</x:v>
      </x:c>
      <x:c r="B31" s="14" t="n">
        <x:f>G6</x:f>
        <x:v>2.49749541291203</x:v>
      </x:c>
      <x:c r="C31" s="14" t="n">
        <x:f>H6</x:f>
        <x:v>3.0364503809437</x:v>
      </x:c>
    </x:row>
    <x:row r="32">
      <x:c r="A32" t="str">
        <x:f>A7</x:f>
        <x:v>Actin</x:v>
      </x:c>
      <x:c r="B32" s="14" t="n">
        <x:f>G7</x:f>
        <x:v>2.99646002109316</x:v>
      </x:c>
      <x:c r="C32" s="14" t="n">
        <x:f>H7</x:f>
        <x:v>3.0266787682913</x:v>
      </x:c>
    </x:row>
    <x:row r="33">
      <x:c r="A33" t="str">
        <x:f>A8</x:f>
        <x:v>Alpha-amylase</x:v>
      </x:c>
      <x:c r="B33" s="14" t="n">
        <x:f>G8</x:f>
        <x:v>3.17437248534063</x:v>
      </x:c>
      <x:c r="C33" s="14" t="n">
        <x:f>H8</x:f>
        <x:v>2.05131784522284</x:v>
      </x:c>
    </x:row>
    <x:row r="34">
      <x:c r="A34" t="str">
        <x:f>A9</x:f>
        <x:v>Alpha/Beta tubulin</x:v>
      </x:c>
      <x:c r="B34" s="14" t="n">
        <x:f>G9</x:f>
        <x:v>2.82868590209209</x:v>
      </x:c>
      <x:c r="C34" s="14" t="n">
        <x:f>H9</x:f>
        <x:v>2.68186277313465</x:v>
      </x:c>
    </x:row>
    <x:row r="35">
      <x:c r="A35" t="str">
        <x:f>A10</x:f>
        <x:v>Aminopeptidase N</x:v>
      </x:c>
      <x:c r="B35" s="14" t="n">
        <x:f>G10</x:f>
        <x:v>2.03624680764801</x:v>
      </x:c>
      <x:c r="C35" s="14" t="n">
        <x:f>H10</x:f>
        <x:v>2.52246551667489</x:v>
      </x:c>
    </x:row>
    <x:row r="36">
      <x:c r="A36" t="str">
        <x:f>A11</x:f>
        <x:v>Broad-complex</x:v>
      </x:c>
      <x:c r="B36" s="14" t="n">
        <x:f>G11</x:f>
        <x:v>0.941027020298779</x:v>
      </x:c>
      <x:c r="C36" s="14" t="n">
        <x:f>H11</x:f>
        <x:v>0.429606548948604</x:v>
      </x:c>
    </x:row>
    <x:row r="37">
      <x:c r="A37" t="str">
        <x:f>A12</x:f>
        <x:v>Carboxypeptidase</x:v>
      </x:c>
      <x:c r="B37" s="14" t="n">
        <x:f>G12</x:f>
        <x:v>3.16946934061052</x:v>
      </x:c>
      <x:c r="C37" s="14" t="n">
        <x:f>H12</x:f>
        <x:v>2.33902652032887</x:v>
      </x:c>
    </x:row>
    <x:row r="38">
      <x:c r="A38" t="str">
        <x:f>A13</x:f>
        <x:v>Cecropin</x:v>
      </x:c>
      <x:c r="B38" s="14" t="str">
        <x:f>G13</x:f>
      </x:c>
      <x:c r="C38" s="14" t="n">
        <x:f>H13</x:f>
        <x:v>1.69012262930285</x:v>
      </x:c>
    </x:row>
    <x:row r="39">
      <x:c r="A39" t="str">
        <x:f>A14</x:f>
        <x:v>Chymotrypsin</x:v>
      </x:c>
      <x:c r="B39" s="14" t="n">
        <x:f>G14</x:f>
        <x:v>3.74274258358433</x:v>
      </x:c>
      <x:c r="C39" s="14" t="n">
        <x:f>H14</x:f>
        <x:v>3.10873106667077</x:v>
      </x:c>
    </x:row>
    <x:row r="40">
      <x:c r="A40" t="str">
        <x:f>A15</x:f>
        <x:v>Defensin</x:v>
      </x:c>
      <x:c r="B40" s="14" t="str">
        <x:f>G15</x:f>
      </x:c>
      <x:c r="C40" s="14" t="n">
        <x:f>H15</x:f>
        <x:v>1.2915371698504</x:v>
      </x:c>
    </x:row>
    <x:row r="41">
      <x:c r="A41" t="str">
        <x:f>A16</x:f>
        <x:v>Digestive lipase</x:v>
      </x:c>
      <x:c r="B41" s="14" t="n">
        <x:f>G16</x:f>
        <x:v>3.78887720076055</x:v>
      </x:c>
      <x:c r="C41" s="14" t="n">
        <x:f>H16</x:f>
        <x:v>4.15366423489567</x:v>
      </x:c>
    </x:row>
    <x:row r="42">
      <x:c r="A42" t="str">
        <x:f>A17</x:f>
        <x:v>Ecdysone receptor</x:v>
      </x:c>
      <x:c r="B42" s="14" t="str">
        <x:f>G17</x:f>
      </x:c>
      <x:c r="C42" s="14" t="n">
        <x:f>H17</x:f>
        <x:v>0.158966866647594</x:v>
      </x:c>
    </x:row>
    <x:row r="43">
      <x:c r="A43" t="str">
        <x:f>A18</x:f>
        <x:v>Elongation factor 1-alpha</x:v>
      </x:c>
      <x:c r="B43" s="14" t="n">
        <x:f>G18</x:f>
        <x:v>2.93241133433264</x:v>
      </x:c>
      <x:c r="C43" s="14" t="n">
        <x:f>H18</x:f>
        <x:v>3.07309675313415</x:v>
      </x:c>
    </x:row>
    <x:row r="44">
      <x:c r="A44" t="str">
        <x:f>A19</x:f>
        <x:v>GAPDH</x:v>
      </x:c>
      <x:c r="B44" s="14" t="n">
        <x:f>G19</x:f>
        <x:v>2.31426949041774</x:v>
      </x:c>
      <x:c r="C44" s="14" t="n">
        <x:f>H19</x:f>
        <x:v>2.72190424832075</x:v>
      </x:c>
    </x:row>
    <x:row r="45">
      <x:c r="A45" t="str">
        <x:f>A20</x:f>
        <x:v>Juvenile hormone esterase</x:v>
      </x:c>
      <x:c r="B45" s="14" t="n">
        <x:f>G20</x:f>
        <x:v>2.32110217563695</x:v>
      </x:c>
      <x:c r="C45" s="14" t="n">
        <x:f>H20</x:f>
        <x:v>1.82364126673964</x:v>
      </x:c>
    </x:row>
    <x:row r="46">
      <x:c r="A46" t="str">
        <x:f>A21</x:f>
        <x:v>Juvenile hormone-binding protein</x:v>
      </x:c>
      <x:c r="B46" s="14" t="n">
        <x:f>G21</x:f>
        <x:v>0.814229311016448</x:v>
      </x:c>
      <x:c r="C46" s="14" t="n">
        <x:f>H21</x:f>
        <x:v>0.0301426560871104</x:v>
      </x:c>
    </x:row>
    <x:row r="47">
      <x:c r="A47" t="str">
        <x:f>A22</x:f>
        <x:v>Lysozyme</x:v>
      </x:c>
      <x:c r="B47" s="14" t="n">
        <x:f>G22</x:f>
        <x:v>1.96058061604624</x:v>
      </x:c>
      <x:c r="C47" s="14" t="n">
        <x:f>H22</x:f>
        <x:v>0.856279665688154</x:v>
      </x:c>
    </x:row>
    <x:row r="48">
      <x:c r="A48" t="str">
        <x:f>A23</x:f>
        <x:v>PGRP</x:v>
      </x:c>
      <x:c r="B48" s="14" t="n">
        <x:f>G23</x:f>
        <x:v>3.17747940968296</x:v>
      </x:c>
      <x:c r="C48" s="14" t="n">
        <x:f>H23</x:f>
        <x:v>3.40333029098823</x:v>
      </x:c>
    </x:row>
    <x:row r="49">
      <x:c r="A49" t="str">
        <x:f>A24</x:f>
        <x:v>Prophenoloxidase</x:v>
      </x:c>
      <x:c r="B49" s="14" t="str">
        <x:f>G24</x:f>
      </x:c>
      <x:c r="C49" s="14" t="n">
        <x:f>H24</x:f>
        <x:v>0.652790319154307</x:v>
      </x:c>
    </x:row>
    <x:row r="50">
      <x:c r="A50" t="str">
        <x:f>A25</x:f>
        <x:v>Ribosomal protein eL32 (RP49-like)</x:v>
      </x:c>
      <x:c r="B50" s="14" t="n">
        <x:f>G25</x:f>
        <x:v>2.81983883409117</x:v>
      </x:c>
      <x:c r="C50" s="14" t="n">
        <x:f>H25</x:f>
        <x:v>3.39619670504239</x:v>
      </x:c>
    </x:row>
    <x:row r="51">
      <x:c r="A51" t="str">
        <x:f>A26</x:f>
        <x:v>Trypsin</x:v>
      </x:c>
      <x:c r="B51" s="14" t="n">
        <x:f>G26</x:f>
        <x:v>4.12405721648813</x:v>
      </x:c>
      <x:c r="C51" s="14" t="n">
        <x:f>H26</x:f>
        <x:v>4.27231865353019</x:v>
      </x:c>
    </x:row>
  </x:sheetData>
  <x:mergeCells>
    <x:mergeCell ref="A1:N1"/>
    <x:mergeCell ref="A3:N3"/>
  </x:mergeCells>
  <x:pageMargins left="0.7" right="0.7" top="0.75" bottom="0.75" header="0.3" footer="0.3"/>
  <x:drawing xmlns:r="http://schemas.openxmlformats.org/officeDocument/2006/relationships" r:id="Re5786637818f47f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.75" hidden="0" customWidth="1"/>
    <x:col min="2" max="2" width="26.6299991607666" hidden="0" customWidth="1"/>
    <x:col min="3" max="3" width="14" hidden="0" customWidth="1"/>
    <x:col min="4" max="4" width="16" hidden="0" customWidth="1"/>
    <x:col min="5" max="5" width="11.880000114440918" hidden="0" customWidth="1"/>
    <x:col min="6" max="6" width="10.880000114440918" hidden="0" customWidth="1"/>
    <x:col min="7" max="7" width="10.880000114440918" hidden="0" customWidth="1"/>
    <x:col min="8" max="8" width="10.880000114440918" hidden="0" customWidth="1"/>
    <x:col min="9" max="9" width="10.880000114440918" hidden="0" customWidth="1"/>
    <x:col min="10" max="10" width="10.880000114440918" hidden="0" customWidth="1"/>
    <x:col min="11" max="11" width="10.880000114440918" hidden="0" customWidth="1"/>
    <x:col min="12" max="12" width="8.880000114440918" hidden="0" customWidth="1"/>
    <x:col min="13" max="13" width="11.25" hidden="0" customWidth="1"/>
    <x:col min="14" max="14" width="3.880000114440918" hidden="0" customWidth="1"/>
    <x:col min="15" max="15" width="55" hidden="0" customWidth="1"/>
    <x:col min="16" max="16" width="25.25" hidden="0" customWidth="1"/>
  </x:cols>
  <x:sheetData>
    <x:row r="1" ht="30" customHeight="1">
      <x:c r="A1" s="16" t="str">
        <x:v>B. mori mulberry-fed midgut functional representatives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>
      <x:c r="A3" s="19" t="str">
        <x:v>Group</x:v>
      </x:c>
      <x:c r="B3" s="20" t="str">
        <x:v>Marker</x:v>
      </x:c>
      <x:c r="C3" s="20" t="str">
        <x:v>TranscriptID</x:v>
      </x:c>
      <x:c r="D3" s="20" t="str">
        <x:v>GeneID</x:v>
      </x:c>
      <x:c r="E3" s="20" t="str">
        <x:v>GeneSymbol</x:v>
      </x:c>
      <x:c r="F3" s="20" t="str">
        <x:v>SRR14535556</x:v>
      </x:c>
      <x:c r="G3" s="20" t="str">
        <x:v>SRR14535555</x:v>
      </x:c>
      <x:c r="H3" s="20" t="str">
        <x:v>SRR14535554</x:v>
      </x:c>
      <x:c r="I3" s="20" t="str">
        <x:v>SRR14535566</x:v>
      </x:c>
      <x:c r="J3" s="20" t="str">
        <x:v>SRR14535565</x:v>
      </x:c>
      <x:c r="K3" s="20" t="str">
        <x:v>SRR14535564</x:v>
      </x:c>
      <x:c r="L3" s="20" t="str">
        <x:v>Mean TPM</x:v>
      </x:c>
      <x:c r="M3" s="20" t="str">
        <x:v>log10(TPM+1)</x:v>
      </x:c>
      <x:c r="N3" s="20" t="str">
        <x:v>CV</x:v>
      </x:c>
      <x:c r="O3" s="20" t="str">
        <x:v>Annotation</x:v>
      </x:c>
      <x:c r="P3" s="21" t="str">
        <x:v>Selection</x:v>
      </x:c>
    </x:row>
    <x:row r="4">
      <x:c r="A4" s="17" t="str">
        <x:v>Housekeeping</x:v>
      </x:c>
      <x:c r="B4" s="17" t="str">
        <x:v>Ribosomal protein eL32 (RP49-like)</x:v>
      </x:c>
      <x:c r="C4" s="17" t="str">
        <x:v>NM_001098282.2</x:v>
      </x:c>
      <x:c r="D4" s="17" t="str">
        <x:v>gene-RpL32</x:v>
      </x:c>
      <x:c r="E4" s="17" t="str">
        <x:v>RpL32</x:v>
      </x:c>
      <x:c r="F4" s="22" t="n">
        <x:v>2461.467419</x:v>
      </x:c>
      <x:c r="G4" s="22" t="n">
        <x:v>2727.852885</x:v>
      </x:c>
      <x:c r="H4" s="22" t="n">
        <x:v>2538.175581</x:v>
      </x:c>
      <x:c r="I4" s="22" t="n">
        <x:v>2568.583292</x:v>
      </x:c>
      <x:c r="J4" s="22" t="n">
        <x:v>2291.389999</x:v>
      </x:c>
      <x:c r="K4" s="22" t="n">
        <x:v>2346.439936</x:v>
      </x:c>
      <x:c r="L4" s="22" t="n">
        <x:f>AVERAGE(F4:K4)</x:f>
        <x:v>2488.984852</x:v>
      </x:c>
      <x:c r="M4" s="22" t="n">
        <x:f>LOG10(L4+1)</x:f>
        <x:v>3.39619670504239</x:v>
      </x:c>
      <x:c r="N4" s="22" t="n">
        <x:v>0.0637622293154462</x:v>
      </x:c>
      <x:c r="O4" s="17" t="str">
        <x:v>ribosomal protein L32</x:v>
      </x:c>
      <x:c r="P4" s="17" t="str">
        <x:v>Functional_panel_top_expressed</x:v>
      </x:c>
    </x:row>
    <x:row r="5">
      <x:c r="A5" s="17" t="str">
        <x:v>Housekeeping</x:v>
      </x:c>
      <x:c r="B5" s="17" t="str">
        <x:v>Actin</x:v>
      </x:c>
      <x:c r="C5" s="17" t="str">
        <x:v>NM_001126252.1</x:v>
      </x:c>
      <x:c r="D5" s="17" t="str">
        <x:v>gene-A1</x:v>
      </x:c>
      <x:c r="E5" s="17" t="str">
        <x:v>A1</x:v>
      </x:c>
      <x:c r="F5" s="22" t="n">
        <x:v>1053.264094</x:v>
      </x:c>
      <x:c r="G5" s="22" t="n">
        <x:v>747.111053</x:v>
      </x:c>
      <x:c r="H5" s="22" t="n">
        <x:v>653.194719</x:v>
      </x:c>
      <x:c r="I5" s="22" t="n">
        <x:v>861.116567</x:v>
      </x:c>
      <x:c r="J5" s="22" t="n">
        <x:v>1443.89457</x:v>
      </x:c>
      <x:c r="K5" s="22" t="n">
        <x:v>1615.556207</x:v>
      </x:c>
      <x:c r="L5" s="22" t="n">
        <x:f>AVERAGE(F5:K5)</x:f>
        <x:v>1062.3562016666665</x:v>
      </x:c>
      <x:c r="M5" s="22" t="n">
        <x:f>LOG10(L5+1)</x:f>
        <x:v>3.0266787682913</x:v>
      </x:c>
      <x:c r="N5" s="22" t="n">
        <x:v>0.3667401168108972</x:v>
      </x:c>
      <x:c r="O5" s="17" t="str">
        <x:v>actin A1</x:v>
      </x:c>
      <x:c r="P5" s="17" t="str">
        <x:v>Functional_panel_top_expressed</x:v>
      </x:c>
    </x:row>
    <x:row r="6">
      <x:c r="A6" s="17" t="str">
        <x:v>Housekeeping</x:v>
      </x:c>
      <x:c r="B6" s="17" t="str">
        <x:v>Alpha/Beta tubulin</x:v>
      </x:c>
      <x:c r="C6" s="17" t="str">
        <x:v>XM_062676385.1</x:v>
      </x:c>
      <x:c r="D6" s="17" t="str">
        <x:v>gene-Tua1</x:v>
      </x:c>
      <x:c r="E6" s="17" t="str">
        <x:v>Tua1</x:v>
      </x:c>
      <x:c r="F6" s="22" t="n">
        <x:v>525.983569</x:v>
      </x:c>
      <x:c r="G6" s="22" t="n">
        <x:v>495.411114</x:v>
      </x:c>
      <x:c r="H6" s="22" t="n">
        <x:v>461.017022</x:v>
      </x:c>
      <x:c r="I6" s="22" t="n">
        <x:v>495.518356</x:v>
      </x:c>
      <x:c r="J6" s="22" t="n">
        <x:v>471.054589</x:v>
      </x:c>
      <x:c r="K6" s="22" t="n">
        <x:v>429.139981</x:v>
      </x:c>
      <x:c r="L6" s="22" t="n">
        <x:f>AVERAGE(F6:K6)</x:f>
        <x:v>479.6874384999999</x:v>
      </x:c>
      <x:c r="M6" s="22" t="n">
        <x:f>LOG10(L6+1)</x:f>
        <x:v>2.68186277313465</x:v>
      </x:c>
      <x:c r="N6" s="22" t="n">
        <x:v>0.06988746574781513</x:v>
      </x:c>
      <x:c r="O6" s="17" t="str">
        <x:v>alpha-tubulin</x:v>
      </x:c>
      <x:c r="P6" s="17" t="str">
        <x:v>Functional_panel_top_expressed</x:v>
      </x:c>
    </x:row>
    <x:row r="7">
      <x:c r="A7" s="17" t="str">
        <x:v>Housekeeping</x:v>
      </x:c>
      <x:c r="B7" s="17" t="str">
        <x:v>Elongation factor 1-alpha</x:v>
      </x:c>
      <x:c r="C7" s="17" t="str">
        <x:v>XM_062668463.1</x:v>
      </x:c>
      <x:c r="D7" s="17" t="str">
        <x:v>gene-EF1a</x:v>
      </x:c>
      <x:c r="E7" s="17" t="str">
        <x:v>EF1a</x:v>
      </x:c>
      <x:c r="F7" s="22" t="n">
        <x:v>1300.521536</x:v>
      </x:c>
      <x:c r="G7" s="22" t="n">
        <x:v>1217.162094</x:v>
      </x:c>
      <x:c r="H7" s="22" t="n">
        <x:v>1444.597721</x:v>
      </x:c>
      <x:c r="I7" s="22" t="n">
        <x:v>1088.723434</x:v>
      </x:c>
      <x:c r="J7" s="22" t="n">
        <x:v>904.767237</x:v>
      </x:c>
      <x:c r="K7" s="22" t="n">
        <x:v>1138.058853</x:v>
      </x:c>
      <x:c r="L7" s="22" t="n">
        <x:f>AVERAGE(F7:K7)</x:f>
        <x:v>1182.3051458333332</x:v>
      </x:c>
      <x:c r="M7" s="22" t="n">
        <x:f>LOG10(L7+1)</x:f>
        <x:v>3.07309675313415</x:v>
      </x:c>
      <x:c r="N7" s="22" t="n">
        <x:v>0.15675038010005177</x:v>
      </x:c>
      <x:c r="O7" s="17" t="str">
        <x:v>elongation factor 1 alpha</x:v>
      </x:c>
      <x:c r="P7" s="17" t="str">
        <x:v>Functional_panel_top_expressed</x:v>
      </x:c>
    </x:row>
    <x:row r="8">
      <x:c r="A8" s="17" t="str">
        <x:v>Housekeeping</x:v>
      </x:c>
      <x:c r="B8" s="17" t="str">
        <x:v>GAPDH</x:v>
      </x:c>
      <x:c r="C8" s="17" t="str">
        <x:v>XM_012690444.3</x:v>
      </x:c>
      <x:c r="D8" s="17" t="str">
        <x:v>gene-LOC692786</x:v>
      </x:c>
      <x:c r="E8" s="17" t="str">
        <x:v>LOC692786</x:v>
      </x:c>
      <x:c r="F8" s="22" t="n">
        <x:v>720.739298</x:v>
      </x:c>
      <x:c r="G8" s="22" t="n">
        <x:v>381.108687</x:v>
      </x:c>
      <x:c r="H8" s="22" t="n">
        <x:v>541.753782</x:v>
      </x:c>
      <x:c r="I8" s="22" t="n">
        <x:v>397.264777</x:v>
      </x:c>
      <x:c r="J8" s="22" t="n">
        <x:v>445.229963</x:v>
      </x:c>
      <x:c r="K8" s="22" t="n">
        <x:v>670.585288</x:v>
      </x:c>
      <x:c r="L8" s="22" t="n">
        <x:f>AVERAGE(F8:K8)</x:f>
        <x:v>526.1136325000001</x:v>
      </x:c>
      <x:c r="M8" s="22" t="n">
        <x:f>LOG10(L8+1)</x:f>
        <x:v>2.72190424832075</x:v>
      </x:c>
      <x:c r="N8" s="22" t="n">
        <x:v>0.2730264310413847</x:v>
      </x:c>
      <x:c r="O8" s="17" t="str">
        <x:v>glyceraldehyde-3-phosphate dehydrogenase</x:v>
      </x:c>
      <x:c r="P8" s="17" t="str">
        <x:v>Functional_panel_top_expressed</x:v>
      </x:c>
    </x:row>
    <x:row r="9">
      <x:c r="A9" s="17" t="str">
        <x:v>Energy</x:v>
      </x:c>
      <x:c r="B9" s="17" t="str">
        <x:v>ATP synthase</x:v>
      </x:c>
      <x:c r="C9" s="17" t="str">
        <x:v>NM_001046933.2</x:v>
      </x:c>
      <x:c r="D9" s="17" t="str">
        <x:v>gene-LOC732934</x:v>
      </x:c>
      <x:c r="E9" s="17" t="str">
        <x:v>LOC732934</x:v>
      </x:c>
      <x:c r="F9" s="22" t="n">
        <x:v>1014.815533</x:v>
      </x:c>
      <x:c r="G9" s="22" t="n">
        <x:v>1167.394154</x:v>
      </x:c>
      <x:c r="H9" s="22" t="n">
        <x:v>842.468449</x:v>
      </x:c>
      <x:c r="I9" s="22" t="n">
        <x:v>944.945591</x:v>
      </x:c>
      <x:c r="J9" s="22" t="n">
        <x:v>1357.095123</x:v>
      </x:c>
      <x:c r="K9" s="22" t="n">
        <x:v>1192.598402</x:v>
      </x:c>
      <x:c r="L9" s="22" t="n">
        <x:f>AVERAGE(F9:K9)</x:f>
        <x:v>1086.5528753333335</x:v>
      </x:c>
      <x:c r="M9" s="22" t="n">
        <x:f>LOG10(L9+1)</x:f>
        <x:v>3.0364503809437</x:v>
      </x:c>
      <x:c r="N9" s="22" t="n">
        <x:v>0.17254881653934437</x:v>
      </x:c>
      <x:c r="O9" s="17" t="str">
        <x:v>H+ transporting ATP synthase subunit g</x:v>
      </x:c>
      <x:c r="P9" s="17" t="str">
        <x:v>Functional_panel_top_expressed</x:v>
      </x:c>
    </x:row>
    <x:row r="10">
      <x:c r="A10" s="17" t="str">
        <x:v>Digestion</x:v>
      </x:c>
      <x:c r="B10" s="17" t="str">
        <x:v>Trypsin</x:v>
      </x:c>
      <x:c r="C10" s="17" t="str">
        <x:v>NM_001099803.1</x:v>
      </x:c>
      <x:c r="D10" s="17" t="str">
        <x:v>gene-LOC100101175</x:v>
      </x:c>
      <x:c r="E10" s="17" t="str">
        <x:v>LOC100101175</x:v>
      </x:c>
      <x:c r="F10" s="22" t="n">
        <x:v>40934.169546</x:v>
      </x:c>
      <x:c r="G10" s="22" t="n">
        <x:v>4340.585057</x:v>
      </x:c>
      <x:c r="H10" s="22" t="n">
        <x:v>25645.278095</x:v>
      </x:c>
      <x:c r="I10" s="22" t="n">
        <x:v>12388.535402</x:v>
      </x:c>
      <x:c r="J10" s="22" t="n">
        <x:v>6230.530237</x:v>
      </x:c>
      <x:c r="K10" s="22" t="n">
        <x:v>22778.21449</x:v>
      </x:c>
      <x:c r="L10" s="22" t="n">
        <x:f>AVERAGE(F10:K10)</x:f>
        <x:v>18719.552137833332</x:v>
      </x:c>
      <x:c r="M10" s="22" t="n">
        <x:f>LOG10(L10+1)</x:f>
        <x:v>4.27231865353019</x:v>
      </x:c>
      <x:c r="N10" s="22" t="n">
        <x:v>0.7404955122247526</x:v>
      </x:c>
      <x:c r="O10" s="17" t="str">
        <x:v>trypsin-like protease</x:v>
      </x:c>
      <x:c r="P10" s="17" t="str">
        <x:v>Functional_panel_top_expressed</x:v>
      </x:c>
    </x:row>
    <x:row r="11">
      <x:c r="A11" s="17" t="str">
        <x:v>Digestion</x:v>
      </x:c>
      <x:c r="B11" s="17" t="str">
        <x:v>Chymotrypsin</x:v>
      </x:c>
      <x:c r="C11" s="17" t="str">
        <x:v>XM_004928924.5</x:v>
      </x:c>
      <x:c r="D11" s="17" t="str">
        <x:v>gene-LOC692380</x:v>
      </x:c>
      <x:c r="E11" s="17" t="str">
        <x:v>LOC692380</x:v>
      </x:c>
      <x:c r="F11" s="22" t="n">
        <x:v>768.027055</x:v>
      </x:c>
      <x:c r="G11" s="22" t="n">
        <x:v>1497.442208</x:v>
      </x:c>
      <x:c r="H11" s="22" t="n">
        <x:v>819.85277</x:v>
      </x:c>
      <x:c r="I11" s="22" t="n">
        <x:v>877.195204</x:v>
      </x:c>
      <x:c r="J11" s="22" t="n">
        <x:v>2478.228717</x:v>
      </x:c>
      <x:c r="K11" s="22" t="n">
        <x:v>1260.200064</x:v>
      </x:c>
      <x:c r="L11" s="22" t="n">
        <x:f>AVERAGE(F11:K11)</x:f>
        <x:v>1283.491003</x:v>
      </x:c>
      <x:c r="M11" s="22" t="n">
        <x:f>LOG10(L11+1)</x:f>
        <x:v>3.10873106667077</x:v>
      </x:c>
      <x:c r="N11" s="22" t="n">
        <x:v>0.5072643324254386</x:v>
      </x:c>
      <x:c r="O11" s="17" t="str">
        <x:v>chymotrypsin-like elastase family member 1</x:v>
      </x:c>
      <x:c r="P11" s="17" t="str">
        <x:v>Functional_panel_top_expressed</x:v>
      </x:c>
    </x:row>
    <x:row r="12">
      <x:c r="A12" s="17" t="str">
        <x:v>Digestion</x:v>
      </x:c>
      <x:c r="B12" s="17" t="str">
        <x:v>Aminopeptidase N</x:v>
      </x:c>
      <x:c r="C12" s="17" t="str">
        <x:v>XM_012697255.3</x:v>
      </x:c>
      <x:c r="D12" s="17" t="str">
        <x:v>gene-Apn4</x:v>
      </x:c>
      <x:c r="E12" s="17" t="str">
        <x:v>Apn4</x:v>
      </x:c>
      <x:c r="F12" s="22" t="n">
        <x:v>393.84604</x:v>
      </x:c>
      <x:c r="G12" s="22" t="n">
        <x:v>326.805015</x:v>
      </x:c>
      <x:c r="H12" s="22" t="n">
        <x:v>362.535077</x:v>
      </x:c>
      <x:c r="I12" s="22" t="n">
        <x:v>200.367646</x:v>
      </x:c>
      <x:c r="J12" s="22" t="n">
        <x:v>372.435537</x:v>
      </x:c>
      <x:c r="K12" s="22" t="n">
        <x:v>336.108602</x:v>
      </x:c>
      <x:c r="L12" s="22" t="n">
        <x:f>AVERAGE(F12:K12)</x:f>
        <x:v>332.0163195</x:v>
      </x:c>
      <x:c r="M12" s="22" t="n">
        <x:f>LOG10(L12+1)</x:f>
        <x:v>2.52246551667489</x:v>
      </x:c>
      <x:c r="N12" s="22" t="n">
        <x:v>0.20763900539985045</x:v>
      </x:c>
      <x:c r="O12" s="17" t="str">
        <x:v>aminopeptidase N</x:v>
      </x:c>
      <x:c r="P12" s="17" t="str">
        <x:v>Functional_panel_top_expressed</x:v>
      </x:c>
    </x:row>
    <x:row r="13">
      <x:c r="A13" s="17" t="str">
        <x:v>Digestion</x:v>
      </x:c>
      <x:c r="B13" s="17" t="str">
        <x:v>Carboxypeptidase</x:v>
      </x:c>
      <x:c r="C13" s="17" t="str">
        <x:v>XM_004926495.5</x:v>
      </x:c>
      <x:c r="D13" s="17" t="str">
        <x:v>gene-LOC101744896</x:v>
      </x:c>
      <x:c r="E13" s="17" t="str">
        <x:v>LOC101744896</x:v>
      </x:c>
      <x:c r="F13" s="22" t="n">
        <x:v>210.933991</x:v>
      </x:c>
      <x:c r="G13" s="22" t="n">
        <x:v>234.085884</x:v>
      </x:c>
      <x:c r="H13" s="22" t="n">
        <x:v>215.760057</x:v>
      </x:c>
      <x:c r="I13" s="22" t="n">
        <x:v>185.551962</x:v>
      </x:c>
      <x:c r="J13" s="22" t="n">
        <x:v>249.468264</x:v>
      </x:c>
      <x:c r="K13" s="22" t="n">
        <x:v>207.917765</x:v>
      </x:c>
      <x:c r="L13" s="22" t="n">
        <x:f>AVERAGE(F13:K13)</x:f>
        <x:v>217.2863205</x:v>
      </x:c>
      <x:c r="M13" s="22" t="n">
        <x:f>LOG10(L13+1)</x:f>
        <x:v>2.33902652032887</x:v>
      </x:c>
      <x:c r="N13" s="22" t="n">
        <x:v>0.10198723947989313</x:v>
      </x:c>
      <x:c r="O13" s="17" t="str">
        <x:v>retinoid-inducible serine carboxypeptidase</x:v>
      </x:c>
      <x:c r="P13" s="17" t="str">
        <x:v>Functional_panel_top_expressed</x:v>
      </x:c>
    </x:row>
    <x:row r="14">
      <x:c r="A14" s="17" t="str">
        <x:v>Digestion</x:v>
      </x:c>
      <x:c r="B14" s="17" t="str">
        <x:v>Alpha-amylase</x:v>
      </x:c>
      <x:c r="C14" s="17" t="str">
        <x:v>XM_021352759.3</x:v>
      </x:c>
      <x:c r="D14" s="17" t="str">
        <x:v>gene-LOC110386457</x:v>
      </x:c>
      <x:c r="E14" s="17" t="str">
        <x:v>LOC110386457</x:v>
      </x:c>
      <x:c r="F14" s="22" t="n">
        <x:v>142.407217</x:v>
      </x:c>
      <x:c r="G14" s="22" t="n">
        <x:v>163.260662</x:v>
      </x:c>
      <x:c r="H14" s="22" t="n">
        <x:v>115.036488</x:v>
      </x:c>
      <x:c r="I14" s="22" t="n">
        <x:v>82.514392</x:v>
      </x:c>
      <x:c r="J14" s="22" t="n">
        <x:v>104.427695</x:v>
      </x:c>
      <x:c r="K14" s="22" t="n">
        <x:v>61.610547</x:v>
      </x:c>
      <x:c r="L14" s="22" t="n">
        <x:f>AVERAGE(F14:K14)</x:f>
        <x:v>111.54283349999999</x:v>
      </x:c>
      <x:c r="M14" s="22" t="n">
        <x:f>LOG10(L14+1)</x:f>
        <x:v>2.05131784522284</x:v>
      </x:c>
      <x:c r="N14" s="22" t="n">
        <x:v>0.3360695802682286</x:v>
      </x:c>
      <x:c r="O14" s="17" t="str">
        <x:v>alpha-amylase 2</x:v>
      </x:c>
      <x:c r="P14" s="17" t="str">
        <x:v>Functional_panel_top_expressed</x:v>
      </x:c>
    </x:row>
    <x:row r="15">
      <x:c r="A15" s="17" t="str">
        <x:v>Digestion</x:v>
      </x:c>
      <x:c r="B15" s="17" t="str">
        <x:v>Digestive lipase</x:v>
      </x:c>
      <x:c r="C15" s="17" t="str">
        <x:v>NM_001046694.1</x:v>
      </x:c>
      <x:c r="D15" s="17" t="str">
        <x:v>gene-LOC692849</x:v>
      </x:c>
      <x:c r="E15" s="17" t="str">
        <x:v>LOC692849</x:v>
      </x:c>
      <x:c r="F15" s="22" t="n">
        <x:v>20146.117665</x:v>
      </x:c>
      <x:c r="G15" s="22" t="n">
        <x:v>10140.290018</x:v>
      </x:c>
      <x:c r="H15" s="22" t="n">
        <x:v>25093.567788</x:v>
      </x:c>
      <x:c r="I15" s="22" t="n">
        <x:v>25822.7577</x:v>
      </x:c>
      <x:c r="J15" s="22" t="n">
        <x:v>287.993351</x:v>
      </x:c>
      <x:c r="K15" s="22" t="n">
        <x:v>3973.624046</x:v>
      </x:c>
      <x:c r="L15" s="22" t="n">
        <x:f>AVERAGE(F15:K15)</x:f>
        <x:v>14244.058427999998</x:v>
      </x:c>
      <x:c r="M15" s="22" t="n">
        <x:f>LOG10(L15+1)</x:f>
        <x:v>4.15366423489567</x:v>
      </x:c>
      <x:c r="N15" s="22" t="n">
        <x:v>0.7714261020444811</x:v>
      </x:c>
      <x:c r="O15" s="17" t="str">
        <x:v>triacylglycerol lipase</x:v>
      </x:c>
      <x:c r="P15" s="17" t="str">
        <x:v>Functional_panel_top_expressed</x:v>
      </x:c>
    </x:row>
    <x:row r="16">
      <x:c r="A16" s="17" t="str">
        <x:v>Immunity</x:v>
      </x:c>
      <x:c r="B16" s="17" t="str">
        <x:v>Lysozyme</x:v>
      </x:c>
      <x:c r="C16" s="17" t="str">
        <x:v>NM_001043983.1</x:v>
      </x:c>
      <x:c r="D16" s="17" t="str">
        <x:v>gene-Lzm</x:v>
      </x:c>
      <x:c r="E16" s="17" t="str">
        <x:v>Lzm</x:v>
      </x:c>
      <x:c r="F16" s="22" t="n">
        <x:v>2.082032</x:v>
      </x:c>
      <x:c r="G16" s="22" t="n">
        <x:v>6.945321</x:v>
      </x:c>
      <x:c r="H16" s="22" t="n">
        <x:v>12.00958</x:v>
      </x:c>
      <x:c r="I16" s="22" t="n">
        <x:v>5.313986</x:v>
      </x:c>
      <x:c r="J16" s="22" t="n">
        <x:v>0.104859</x:v>
      </x:c>
      <x:c r="K16" s="22" t="n">
        <x:v>10.639622</x:v>
      </x:c>
      <x:c r="L16" s="22" t="n">
        <x:f>AVERAGE(F16:K16)</x:f>
        <x:v>6.182566666666666</x:v>
      </x:c>
      <x:c r="M16" s="22" t="n">
        <x:f>LOG10(L16+1)</x:f>
        <x:v>0.856279665688154</x:v>
      </x:c>
      <x:c r="N16" s="22" t="n">
        <x:v>0.7548787743082411</x:v>
      </x:c>
      <x:c r="O16" s="17" t="str">
        <x:v>lysozyme</x:v>
      </x:c>
      <x:c r="P16" s="17" t="str">
        <x:v>Functional_panel_top_expressed</x:v>
      </x:c>
    </x:row>
    <x:row r="17">
      <x:c r="A17" s="17" t="str">
        <x:v>Immunity</x:v>
      </x:c>
      <x:c r="B17" s="17" t="str">
        <x:v>Cecropin</x:v>
      </x:c>
      <x:c r="C17" s="17" t="str">
        <x:v>NM_001043459.2</x:v>
      </x:c>
      <x:c r="D17" s="17" t="str">
        <x:v>gene-LOC101740228</x:v>
      </x:c>
      <x:c r="E17" s="17" t="str">
        <x:v>LOC101740228</x:v>
      </x:c>
      <x:c r="F17" s="22" t="n">
        <x:v>41.209259</x:v>
      </x:c>
      <x:c r="G17" s="22" t="n">
        <x:v>12.994835</x:v>
      </x:c>
      <x:c r="H17" s="22" t="n">
        <x:v>66.212366</x:v>
      </x:c>
      <x:c r="I17" s="22" t="n">
        <x:v>52.94338</x:v>
      </x:c>
      <x:c r="J17" s="22" t="n">
        <x:v>32.856185</x:v>
      </x:c>
      <x:c r="K17" s="22" t="n">
        <x:v>81.734256</x:v>
      </x:c>
      <x:c r="L17" s="22" t="n">
        <x:f>AVERAGE(F17:K17)</x:f>
        <x:v>47.9917135</x:v>
      </x:c>
      <x:c r="M17" s="22" t="n">
        <x:f>LOG10(L17+1)</x:f>
        <x:v>1.69012262930285</x:v>
      </x:c>
      <x:c r="N17" s="22" t="n">
        <x:v>0.5099676683545364</x:v>
      </x:c>
      <x:c r="O17" s="17" t="str">
        <x:v>cecropin-D-like peptide</x:v>
      </x:c>
      <x:c r="P17" s="17" t="str">
        <x:v>Functional_panel_top_expressed</x:v>
      </x:c>
    </x:row>
    <x:row r="18">
      <x:c r="A18" s="17" t="str">
        <x:v>Immunity</x:v>
      </x:c>
      <x:c r="B18" s="17" t="str">
        <x:v>Defensin</x:v>
      </x:c>
      <x:c r="C18" s="17" t="str">
        <x:v>NM_001043905.2</x:v>
      </x:c>
      <x:c r="D18" s="17" t="str">
        <x:v>gene-Defensin</x:v>
      </x:c>
      <x:c r="E18" s="17" t="str">
        <x:v>Defensin</x:v>
      </x:c>
      <x:c r="F18" s="22" t="n">
        <x:v>9.776114</x:v>
      </x:c>
      <x:c r="G18" s="22" t="n">
        <x:v>13.328981</x:v>
      </x:c>
      <x:c r="H18" s="22" t="n">
        <x:v>9.208597</x:v>
      </x:c>
      <x:c r="I18" s="22" t="n">
        <x:v>42.543235</x:v>
      </x:c>
      <x:c r="J18" s="22" t="n">
        <x:v>9.10697</x:v>
      </x:c>
      <x:c r="K18" s="22" t="n">
        <x:v>27.441597</x:v>
      </x:c>
      <x:c r="L18" s="22" t="n">
        <x:f>AVERAGE(F18:K18)</x:f>
        <x:v>18.567582333333334</x:v>
      </x:c>
      <x:c r="M18" s="22" t="n">
        <x:f>LOG10(L18+1)</x:f>
        <x:v>1.2915371698504</x:v>
      </x:c>
      <x:c r="N18" s="22" t="n">
        <x:v>0.7366477719419537</x:v>
      </x:c>
      <x:c r="O18" s="17" t="str">
        <x:v>defensin-like protein</x:v>
      </x:c>
      <x:c r="P18" s="17" t="str">
        <x:v>Functional_panel_top_expressed</x:v>
      </x:c>
    </x:row>
    <x:row r="19">
      <x:c r="A19" s="17" t="str">
        <x:v>Immunity</x:v>
      </x:c>
      <x:c r="B19" s="17" t="str">
        <x:v>PGRP</x:v>
      </x:c>
      <x:c r="C19" s="17" t="str">
        <x:v>NM_001257020.2</x:v>
      </x:c>
      <x:c r="D19" s="17" t="str">
        <x:v>gene-PGRP</x:v>
      </x:c>
      <x:c r="E19" s="17" t="str">
        <x:v>PGRP</x:v>
      </x:c>
      <x:c r="F19" s="22" t="n">
        <x:v>237.831353</x:v>
      </x:c>
      <x:c r="G19" s="22" t="n">
        <x:v>4048.716535</x:v>
      </x:c>
      <x:c r="H19" s="22" t="n">
        <x:v>2218.967069</x:v>
      </x:c>
      <x:c r="I19" s="22" t="n">
        <x:v>3502.923582</x:v>
      </x:c>
      <x:c r="J19" s="22" t="n">
        <x:v>886.037116</x:v>
      </x:c>
      <x:c r="K19" s="22" t="n">
        <x:v>4286.858251</x:v>
      </x:c>
      <x:c r="L19" s="22" t="n">
        <x:f>AVERAGE(F19:K19)</x:f>
        <x:v>2530.222317666666</x:v>
      </x:c>
      <x:c r="M19" s="22" t="n">
        <x:f>LOG10(L19+1)</x:f>
        <x:v>3.40333029098823</x:v>
      </x:c>
      <x:c r="N19" s="22" t="n">
        <x:v>0.6705517977777082</x:v>
      </x:c>
      <x:c r="O19" s="17" t="str">
        <x:v>peptidoglycan recognition protein</x:v>
      </x:c>
      <x:c r="P19" s="17" t="str">
        <x:v>Functional_panel_top_expressed</x:v>
      </x:c>
    </x:row>
    <x:row r="20">
      <x:c r="A20" s="17" t="str">
        <x:v>Immunity</x:v>
      </x:c>
      <x:c r="B20" s="17" t="str">
        <x:v>Prophenoloxidase</x:v>
      </x:c>
      <x:c r="C20" s="17" t="str">
        <x:v>NM_001043367.1</x:v>
      </x:c>
      <x:c r="D20" s="17" t="str">
        <x:v>gene-PPAE</x:v>
      </x:c>
      <x:c r="E20" s="17" t="str">
        <x:v>PPAE</x:v>
      </x:c>
      <x:c r="F20" s="22" t="n">
        <x:v>1.404326</x:v>
      </x:c>
      <x:c r="G20" s="22" t="n">
        <x:v>0.408493</x:v>
      </x:c>
      <x:c r="H20" s="22" t="n">
        <x:v>3.67976</x:v>
      </x:c>
      <x:c r="I20" s="22" t="n">
        <x:v>2.176568</x:v>
      </x:c>
      <x:c r="J20" s="22" t="n">
        <x:v>7.030683</x:v>
      </x:c>
      <x:c r="K20" s="22" t="n">
        <x:v>6.273935</x:v>
      </x:c>
      <x:c r="L20" s="22" t="n">
        <x:f>AVERAGE(F20:K20)</x:f>
        <x:v>3.4956275</x:v>
      </x:c>
      <x:c r="M20" s="22" t="n">
        <x:f>LOG10(L20+1)</x:f>
        <x:v>0.652790319154307</x:v>
      </x:c>
      <x:c r="N20" s="22" t="n">
        <x:v>0.7664732334425284</x:v>
      </x:c>
      <x:c r="O20" s="17" t="str">
        <x:v>prophenoloxidase activating enzyme</x:v>
      </x:c>
      <x:c r="P20" s="17" t="str">
        <x:v>Functional_panel_top_expressed</x:v>
      </x:c>
    </x:row>
    <x:row r="21">
      <x:c r="A21" s="17" t="str">
        <x:v>Development</x:v>
      </x:c>
      <x:c r="B21" s="17" t="str">
        <x:v>Juvenile hormone-binding protein</x:v>
      </x:c>
      <x:c r="C21" s="17" t="str">
        <x:v>XM_062675236.1</x:v>
      </x:c>
      <x:c r="D21" s="17" t="str">
        <x:v>gene-LOC101735573</x:v>
      </x:c>
      <x:c r="E21" s="17" t="str">
        <x:v>LOC101735573</x:v>
      </x:c>
      <x:c r="F21" s="22" t="n">
        <x:v>0.098329</x:v>
      </x:c>
      <x:c r="G21" s="22" t="n">
        <x:v>0</x:v>
      </x:c>
      <x:c r="H21" s="22" t="n">
        <x:v>0</x:v>
      </x:c>
      <x:c r="I21" s="22" t="n">
        <x:v>0.128768</x:v>
      </x:c>
      <x:c r="J21" s="22" t="n">
        <x:v>0.057727</x:v>
      </x:c>
      <x:c r="K21" s="22" t="n">
        <x:v>0.146404</x:v>
      </x:c>
      <x:c r="L21" s="22" t="n">
        <x:f>AVERAGE(F21:K21)</x:f>
        <x:v>0.07187133333333333</x:v>
      </x:c>
      <x:c r="M21" s="22" t="n">
        <x:f>LOG10(L21+1)</x:f>
        <x:v>0.0301426560871104</x:v>
      </x:c>
      <x:c r="N21" s="22" t="n">
        <x:v>0.8804975855854041</x:v>
      </x:c>
      <x:c r="O21" s="17" t="str">
        <x:v>juvenile hormone-binding protein</x:v>
      </x:c>
      <x:c r="P21" s="17" t="str">
        <x:v>Functional_panel_top_expressed</x:v>
      </x:c>
    </x:row>
    <x:row r="22">
      <x:c r="A22" s="17" t="str">
        <x:v>Development</x:v>
      </x:c>
      <x:c r="B22" s="17" t="str">
        <x:v>Juvenile hormone esterase</x:v>
      </x:c>
      <x:c r="C22" s="17" t="str">
        <x:v>XM_004933393.5</x:v>
      </x:c>
      <x:c r="D22" s="17" t="str">
        <x:v>gene-LOC101739239</x:v>
      </x:c>
      <x:c r="E22" s="17" t="str">
        <x:v>LOC101739239</x:v>
      </x:c>
      <x:c r="F22" s="22" t="n">
        <x:v>67.940888</x:v>
      </x:c>
      <x:c r="G22" s="22" t="n">
        <x:v>74.870788</x:v>
      </x:c>
      <x:c r="H22" s="22" t="n">
        <x:v>65.528729</x:v>
      </x:c>
      <x:c r="I22" s="22" t="n">
        <x:v>60.239073</x:v>
      </x:c>
      <x:c r="J22" s="22" t="n">
        <x:v>57.806955</x:v>
      </x:c>
      <x:c r="K22" s="22" t="n">
        <x:v>67.36729</x:v>
      </x:c>
      <x:c r="L22" s="22" t="n">
        <x:f>AVERAGE(F22:K22)</x:f>
        <x:v>65.62562050000001</x:v>
      </x:c>
      <x:c r="M22" s="22" t="n">
        <x:f>LOG10(L22+1)</x:f>
        <x:v>1.82364126673964</x:v>
      </x:c>
      <x:c r="N22" s="22" t="n">
        <x:v>0.09244371812408243</x:v>
      </x:c>
      <x:c r="O22" s="17" t="str">
        <x:v>juvenile hormone esterase</x:v>
      </x:c>
      <x:c r="P22" s="17" t="str">
        <x:v>Functional_panel_top_expressed</x:v>
      </x:c>
    </x:row>
    <x:row r="23">
      <x:c r="A23" s="17" t="str">
        <x:v>Development</x:v>
      </x:c>
      <x:c r="B23" s="17" t="str">
        <x:v>Ecdysone receptor</x:v>
      </x:c>
      <x:c r="C23" s="17" t="str">
        <x:v>XM_062670319.1</x:v>
      </x:c>
      <x:c r="D23" s="17" t="str">
        <x:v>gene-EcR</x:v>
      </x:c>
      <x:c r="E23" s="17" t="str">
        <x:v>EcR</x:v>
      </x:c>
      <x:c r="F23" s="22" t="n">
        <x:v>0.366033</x:v>
      </x:c>
      <x:c r="G23" s="22" t="n">
        <x:v>0.423755</x:v>
      </x:c>
      <x:c r="H23" s="22" t="n">
        <x:v>0.43888</x:v>
      </x:c>
      <x:c r="I23" s="22" t="n">
        <x:v>0.422494</x:v>
      </x:c>
      <x:c r="J23" s="22" t="n">
        <x:v>0.357127</x:v>
      </x:c>
      <x:c r="K23" s="22" t="n">
        <x:v>0.643743</x:v>
      </x:c>
      <x:c r="L23" s="22" t="n">
        <x:f>AVERAGE(F23:K23)</x:f>
        <x:v>0.4420053333333332</x:v>
      </x:c>
      <x:c r="M23" s="22" t="n">
        <x:f>LOG10(L23+1)</x:f>
        <x:v>0.158966866647594</x:v>
      </x:c>
      <x:c r="N23" s="22" t="n">
        <x:v>0.23598149425811926</x:v>
      </x:c>
      <x:c r="O23" s="17" t="str">
        <x:v>ecdysone receptor</x:v>
      </x:c>
      <x:c r="P23" s="17" t="str">
        <x:v>Functional_panel_top_expressed</x:v>
      </x:c>
    </x:row>
    <x:row r="24">
      <x:c r="A24" s="17" t="str">
        <x:v>Development</x:v>
      </x:c>
      <x:c r="B24" s="17" t="str">
        <x:v>Broad-complex</x:v>
      </x:c>
      <x:c r="C24" s="17" t="str">
        <x:v>XM_004931843.5</x:v>
      </x:c>
      <x:c r="D24" s="17" t="str">
        <x:v>gene-LOC101746404</x:v>
      </x:c>
      <x:c r="E24" s="17" t="str">
        <x:v>LOC101746404</x:v>
      </x:c>
      <x:c r="F24" s="22" t="n">
        <x:v>1.368019</x:v>
      </x:c>
      <x:c r="G24" s="22" t="n">
        <x:v>0.702539</x:v>
      </x:c>
      <x:c r="H24" s="22" t="n">
        <x:v>3.288058</x:v>
      </x:c>
      <x:c r="I24" s="22" t="n">
        <x:v>1.410154</x:v>
      </x:c>
      <x:c r="J24" s="22" t="n">
        <x:v>0.861416</x:v>
      </x:c>
      <x:c r="K24" s="22" t="n">
        <x:v>2.504399</x:v>
      </x:c>
      <x:c r="L24" s="22" t="n">
        <x:f>AVERAGE(F24:K24)</x:f>
        <x:v>1.6890975</x:v>
      </x:c>
      <x:c r="M24" s="22" t="n">
        <x:f>LOG10(L24+1)</x:f>
        <x:v>0.429606548948604</x:v>
      </x:c>
      <x:c r="N24" s="22" t="n">
        <x:v>0.5956117774478863</x:v>
      </x:c>
      <x:c r="O24" s="17" t="str">
        <x:v>broad-complex core protein isoforms 1/2/3/4/5</x:v>
      </x:c>
      <x:c r="P24" s="17" t="str">
        <x:v>Functional_panel_top_expressed</x:v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630001068115234" hidden="0" customWidth="1"/>
    <x:col min="2" max="2" width="27.6299991607666" hidden="0" customWidth="1"/>
    <x:col min="3" max="3" width="13" hidden="0" customWidth="1"/>
    <x:col min="4" max="4" width="15" hidden="0" customWidth="1"/>
    <x:col min="5" max="5" width="5.630000114440918" hidden="0" customWidth="1"/>
    <x:col min="6" max="6" width="6.630000114440918" hidden="0" customWidth="1"/>
    <x:col min="7" max="7" width="8.25" hidden="0" customWidth="1"/>
    <x:col min="8" max="8" width="19.75" hidden="0" customWidth="1"/>
    <x:col min="9" max="9" width="20.6299991607666" hidden="0" customWidth="1"/>
    <x:col min="10" max="10" width="55" hidden="0" customWidth="1"/>
  </x:cols>
  <x:sheetData>
    <x:row r="1" ht="30" customHeight="1">
      <x:c r="A1" s="16" t="str">
        <x:v>B. mori matching-family distributions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9" t="str">
        <x:v>Group</x:v>
      </x:c>
      <x:c r="B3" s="20" t="str">
        <x:v>Marker</x:v>
      </x:c>
      <x:c r="C3" s="20" t="str">
        <x:v>Candidate count</x:v>
      </x:c>
      <x:c r="D3" s="20" t="str">
        <x:v>Median mean TPM</x:v>
      </x:c>
      <x:c r="E3" s="20" t="str">
        <x:v>P25</x:v>
      </x:c>
      <x:c r="F3" s="20" t="str">
        <x:v>P75</x:v>
      </x:c>
      <x:c r="G3" s="20" t="str">
        <x:v>Maximum</x:v>
      </x:c>
      <x:c r="H3" s="20" t="str">
        <x:v>Representative transcript</x:v>
      </x:c>
      <x:c r="I3" s="20" t="str">
        <x:v>Representative mean TPM</x:v>
      </x:c>
      <x:c r="J3" s="21" t="str">
        <x:v>Annotation</x:v>
      </x:c>
    </x:row>
    <x:row r="4">
      <x:c r="A4" s="17" t="str">
        <x:v>Housekeeping</x:v>
      </x:c>
      <x:c r="B4" s="17" t="str">
        <x:v>Ribosomal protein eL32 (RP49-like)</x:v>
      </x:c>
      <x:c r="C4" s="22" t="n">
        <x:v>2</x:v>
      </x:c>
      <x:c r="D4" s="22" t="n">
        <x:v>1251.91769025</x:v>
      </x:c>
      <x:c r="E4" s="22" t="n">
        <x:v>633.384109375</x:v>
      </x:c>
      <x:c r="F4" s="22" t="n">
        <x:v>1870.451271125</x:v>
      </x:c>
      <x:c r="G4" s="22" t="n">
        <x:v>2488.984852</x:v>
      </x:c>
      <x:c r="H4" s="22" t="str">
        <x:v>NM_001098282.2</x:v>
      </x:c>
      <x:c r="I4" s="22" t="n">
        <x:v>2488.984852</x:v>
      </x:c>
      <x:c r="J4" s="17" t="str">
        <x:v>ribosomal protein L32</x:v>
      </x:c>
    </x:row>
    <x:row r="5">
      <x:c r="A5" s="17" t="str">
        <x:v>Housekeeping</x:v>
      </x:c>
      <x:c r="B5" s="17" t="str">
        <x:v>Actin</x:v>
      </x:c>
      <x:c r="C5" s="22" t="n">
        <x:v>118</x:v>
      </x:c>
      <x:c r="D5" s="22" t="n">
        <x:v>0.20806908333333335</x:v>
      </x:c>
      <x:c r="E5" s="22" t="n">
        <x:v>0</x:v>
      </x:c>
      <x:c r="F5" s="22" t="n">
        <x:v>1.896875</x:v>
      </x:c>
      <x:c r="G5" s="22" t="n">
        <x:v>1062.3562016666667</x:v>
      </x:c>
      <x:c r="H5" s="22" t="str">
        <x:v>NM_001126252.1</x:v>
      </x:c>
      <x:c r="I5" s="22" t="n">
        <x:v>1062.3562016666667</x:v>
      </x:c>
      <x:c r="J5" s="17" t="str">
        <x:v>actin A1</x:v>
      </x:c>
    </x:row>
    <x:row r="6">
      <x:c r="A6" s="17" t="str">
        <x:v>Housekeeping</x:v>
      </x:c>
      <x:c r="B6" s="17" t="str">
        <x:v>Alpha/Beta tubulin</x:v>
      </x:c>
      <x:c r="C6" s="22" t="n">
        <x:v>33</x:v>
      </x:c>
      <x:c r="D6" s="22" t="n">
        <x:v>0.011763166666666667</x:v>
      </x:c>
      <x:c r="E6" s="22" t="n">
        <x:v>0</x:v>
      </x:c>
      <x:c r="F6" s="22" t="n">
        <x:v>0.7436308333333334</x:v>
      </x:c>
      <x:c r="G6" s="22" t="n">
        <x:v>479.68743850000004</x:v>
      </x:c>
      <x:c r="H6" s="22" t="str">
        <x:v>XM_062676385.1</x:v>
      </x:c>
      <x:c r="I6" s="22" t="n">
        <x:v>479.68743850000004</x:v>
      </x:c>
      <x:c r="J6" s="17" t="str">
        <x:v>alpha-tubulin</x:v>
      </x:c>
    </x:row>
    <x:row r="7">
      <x:c r="A7" s="17" t="str">
        <x:v>Housekeeping</x:v>
      </x:c>
      <x:c r="B7" s="17" t="str">
        <x:v>Elongation factor 1-alpha</x:v>
      </x:c>
      <x:c r="C7" s="22" t="n">
        <x:v>9</x:v>
      </x:c>
      <x:c r="D7" s="22" t="n">
        <x:v>0.9991446666666667</x:v>
      </x:c>
      <x:c r="E7" s="22" t="n">
        <x:v>0.040679</x:v>
      </x:c>
      <x:c r="F7" s="22" t="n">
        <x:v>1182.2607086666667</x:v>
      </x:c>
      <x:c r="G7" s="22" t="n">
        <x:v>1182.3051458333332</x:v>
      </x:c>
      <x:c r="H7" s="22" t="str">
        <x:v>XM_062668463.1</x:v>
      </x:c>
      <x:c r="I7" s="22" t="n">
        <x:v>1182.3051458333332</x:v>
      </x:c>
      <x:c r="J7" s="17" t="str">
        <x:v>elongation factor 1 alpha</x:v>
      </x:c>
    </x:row>
    <x:row r="8">
      <x:c r="A8" s="17" t="str">
        <x:v>Housekeeping</x:v>
      </x:c>
      <x:c r="B8" s="17" t="str">
        <x:v>GAPDH</x:v>
      </x:c>
      <x:c r="C8" s="22" t="n">
        <x:v>9</x:v>
      </x:c>
      <x:c r="D8" s="22" t="n">
        <x:v>0</x:v>
      </x:c>
      <x:c r="E8" s="22" t="n">
        <x:v>0</x:v>
      </x:c>
      <x:c r="F8" s="22" t="n">
        <x:v>0</x:v>
      </x:c>
      <x:c r="G8" s="22" t="n">
        <x:v>526.1136325</x:v>
      </x:c>
      <x:c r="H8" s="22" t="str">
        <x:v>XM_012690444.3</x:v>
      </x:c>
      <x:c r="I8" s="22" t="n">
        <x:v>526.1136325</x:v>
      </x:c>
      <x:c r="J8" s="17" t="str">
        <x:v>glyceraldehyde-3-phosphate dehydrogenase</x:v>
      </x:c>
    </x:row>
    <x:row r="9">
      <x:c r="A9" s="17" t="str">
        <x:v>Energy</x:v>
      </x:c>
      <x:c r="B9" s="17" t="str">
        <x:v>ATP synthase</x:v>
      </x:c>
      <x:c r="C9" s="22" t="n">
        <x:v>38</x:v>
      </x:c>
      <x:c r="D9" s="22" t="n">
        <x:v>0.18457016666666665</x:v>
      </x:c>
      <x:c r="E9" s="22" t="n">
        <x:v>0.006158833333333334</x:v>
      </x:c>
      <x:c r="F9" s="22" t="n">
        <x:v>81.94588166666666</x:v>
      </x:c>
      <x:c r="G9" s="22" t="n">
        <x:v>1086.5528753333333</x:v>
      </x:c>
      <x:c r="H9" s="22" t="str">
        <x:v>NM_001046933.2</x:v>
      </x:c>
      <x:c r="I9" s="22" t="n">
        <x:v>1086.5528753333333</x:v>
      </x:c>
      <x:c r="J9" s="17" t="str">
        <x:v>H+ transporting ATP synthase subunit g</x:v>
      </x:c>
    </x:row>
    <x:row r="10">
      <x:c r="A10" s="17" t="str">
        <x:v>Digestion</x:v>
      </x:c>
      <x:c r="B10" s="17" t="str">
        <x:v>Trypsin</x:v>
      </x:c>
      <x:c r="C10" s="22" t="n">
        <x:v>66</x:v>
      </x:c>
      <x:c r="D10" s="22" t="n">
        <x:v>0.04319366666666667</x:v>
      </x:c>
      <x:c r="E10" s="22" t="n">
        <x:v>0</x:v>
      </x:c>
      <x:c r="F10" s="22" t="n">
        <x:v>6.6091645833333335</x:v>
      </x:c>
      <x:c r="G10" s="22" t="n">
        <x:v>18719.552137833332</x:v>
      </x:c>
      <x:c r="H10" s="22" t="str">
        <x:v>NM_001099803.1</x:v>
      </x:c>
      <x:c r="I10" s="22" t="n">
        <x:v>18719.552137833332</x:v>
      </x:c>
      <x:c r="J10" s="17" t="str">
        <x:v>trypsin-like protease</x:v>
      </x:c>
    </x:row>
    <x:row r="11">
      <x:c r="A11" s="17" t="str">
        <x:v>Digestion</x:v>
      </x:c>
      <x:c r="B11" s="17" t="str">
        <x:v>Chymotrypsin</x:v>
      </x:c>
      <x:c r="C11" s="22" t="n">
        <x:v>20</x:v>
      </x:c>
      <x:c r="D11" s="22" t="n">
        <x:v>0.7231750833333332</x:v>
      </x:c>
      <x:c r="E11" s="22" t="n">
        <x:v>0.03173854166666666</x:v>
      </x:c>
      <x:c r="F11" s="22" t="n">
        <x:v>148.85603945833333</x:v>
      </x:c>
      <x:c r="G11" s="22" t="n">
        <x:v>1283.4910029999999</x:v>
      </x:c>
      <x:c r="H11" s="22" t="str">
        <x:v>XM_004928924.5</x:v>
      </x:c>
      <x:c r="I11" s="22" t="n">
        <x:v>1283.4910029999999</x:v>
      </x:c>
      <x:c r="J11" s="17" t="str">
        <x:v>chymotrypsin-like elastase family member 1</x:v>
      </x:c>
    </x:row>
    <x:row r="12">
      <x:c r="A12" s="17" t="str">
        <x:v>Digestion</x:v>
      </x:c>
      <x:c r="B12" s="17" t="str">
        <x:v>Aminopeptidase N</x:v>
      </x:c>
      <x:c r="C12" s="22" t="n">
        <x:v>21</x:v>
      </x:c>
      <x:c r="D12" s="22" t="n">
        <x:v>0.11751883333333334</x:v>
      </x:c>
      <x:c r="E12" s="22" t="n">
        <x:v>0</x:v>
      </x:c>
      <x:c r="F12" s="22" t="n">
        <x:v>0.39178050000000003</x:v>
      </x:c>
      <x:c r="G12" s="22" t="n">
        <x:v>332.0163195</x:v>
      </x:c>
      <x:c r="H12" s="22" t="str">
        <x:v>XM_012697255.3</x:v>
      </x:c>
      <x:c r="I12" s="22" t="n">
        <x:v>332.0163195</x:v>
      </x:c>
      <x:c r="J12" s="17" t="str">
        <x:v>aminopeptidase N</x:v>
      </x:c>
    </x:row>
    <x:row r="13">
      <x:c r="A13" s="17" t="str">
        <x:v>Digestion</x:v>
      </x:c>
      <x:c r="B13" s="17" t="str">
        <x:v>Carboxypeptidase</x:v>
      </x:c>
      <x:c r="C13" s="22" t="n">
        <x:v>73</x:v>
      </x:c>
      <x:c r="D13" s="22" t="n">
        <x:v>0.0527445</x:v>
      </x:c>
      <x:c r="E13" s="22" t="n">
        <x:v>0.005383</x:v>
      </x:c>
      <x:c r="F13" s="22" t="n">
        <x:v>1.9393471666666666</x:v>
      </x:c>
      <x:c r="G13" s="22" t="n">
        <x:v>217.2863205</x:v>
      </x:c>
      <x:c r="H13" s="22" t="str">
        <x:v>XM_004926495.5</x:v>
      </x:c>
      <x:c r="I13" s="22" t="n">
        <x:v>217.2863205</x:v>
      </x:c>
      <x:c r="J13" s="17" t="str">
        <x:v>retinoid-inducible serine carboxypeptidase</x:v>
      </x:c>
    </x:row>
    <x:row r="14">
      <x:c r="A14" s="17" t="str">
        <x:v>Digestion</x:v>
      </x:c>
      <x:c r="B14" s="17" t="str">
        <x:v>Alpha-amylase</x:v>
      </x:c>
      <x:c r="C14" s="22" t="n">
        <x:v>10</x:v>
      </x:c>
      <x:c r="D14" s="22" t="n">
        <x:v>0.4455859166666667</x:v>
      </x:c>
      <x:c r="E14" s="22" t="n">
        <x:v>0.0038459166666666663</x:v>
      </x:c>
      <x:c r="F14" s="22" t="n">
        <x:v>8.148066291666666</x:v>
      </x:c>
      <x:c r="G14" s="22" t="n">
        <x:v>111.54283349999999</x:v>
      </x:c>
      <x:c r="H14" s="22" t="str">
        <x:v>XM_021352759.3</x:v>
      </x:c>
      <x:c r="I14" s="22" t="n">
        <x:v>111.54283349999999</x:v>
      </x:c>
      <x:c r="J14" s="17" t="str">
        <x:v>alpha-amylase 2</x:v>
      </x:c>
    </x:row>
    <x:row r="15">
      <x:c r="A15" s="17" t="str">
        <x:v>Digestion</x:v>
      </x:c>
      <x:c r="B15" s="17" t="str">
        <x:v>Digestive lipase</x:v>
      </x:c>
      <x:c r="C15" s="22" t="n">
        <x:v>31</x:v>
      </x:c>
      <x:c r="D15" s="22" t="n">
        <x:v>0.08478333333333334</x:v>
      </x:c>
      <x:c r="E15" s="22" t="n">
        <x:v>0.009317416666666667</x:v>
      </x:c>
      <x:c r="F15" s="22" t="n">
        <x:v>2.4450595833333333</x:v>
      </x:c>
      <x:c r="G15" s="22" t="n">
        <x:v>14244.058427999998</x:v>
      </x:c>
      <x:c r="H15" s="22" t="str">
        <x:v>NM_001046694.1</x:v>
      </x:c>
      <x:c r="I15" s="22" t="n">
        <x:v>14244.058427999998</x:v>
      </x:c>
      <x:c r="J15" s="17" t="str">
        <x:v>triacylglycerol lipase</x:v>
      </x:c>
    </x:row>
    <x:row r="16">
      <x:c r="A16" s="17" t="str">
        <x:v>Immunity</x:v>
      </x:c>
      <x:c r="B16" s="17" t="str">
        <x:v>Lysozyme</x:v>
      </x:c>
      <x:c r="C16" s="22" t="n">
        <x:v>9</x:v>
      </x:c>
      <x:c r="D16" s="22" t="n">
        <x:v>0.092378</x:v>
      </x:c>
      <x:c r="E16" s="22" t="n">
        <x:v>0</x:v>
      </x:c>
      <x:c r="F16" s="22" t="n">
        <x:v>0.4314723333333334</x:v>
      </x:c>
      <x:c r="G16" s="22" t="n">
        <x:v>6.182566666666666</x:v>
      </x:c>
      <x:c r="H16" s="22" t="str">
        <x:v>NM_001043983.1</x:v>
      </x:c>
      <x:c r="I16" s="22" t="n">
        <x:v>6.182566666666666</x:v>
      </x:c>
      <x:c r="J16" s="17" t="str">
        <x:v>lysozyme</x:v>
      </x:c>
    </x:row>
    <x:row r="17">
      <x:c r="A17" s="17" t="str">
        <x:v>Immunity</x:v>
      </x:c>
      <x:c r="B17" s="17" t="str">
        <x:v>Cecropin</x:v>
      </x:c>
      <x:c r="C17" s="22" t="n">
        <x:v>14</x:v>
      </x:c>
      <x:c r="D17" s="22" t="n">
        <x:v>0.33396425</x:v>
      </x:c>
      <x:c r="E17" s="22" t="n">
        <x:v>0.05458466666666666</x:v>
      </x:c>
      <x:c r="F17" s="22" t="n">
        <x:v>3.4873628749999996</x:v>
      </x:c>
      <x:c r="G17" s="22" t="n">
        <x:v>47.9917135</x:v>
      </x:c>
      <x:c r="H17" s="22" t="str">
        <x:v>NM_001043459.2</x:v>
      </x:c>
      <x:c r="I17" s="22" t="n">
        <x:v>47.9917135</x:v>
      </x:c>
      <x:c r="J17" s="17" t="str">
        <x:v>cecropin-D-like peptide</x:v>
      </x:c>
    </x:row>
    <x:row r="18">
      <x:c r="A18" s="17" t="str">
        <x:v>Immunity</x:v>
      </x:c>
      <x:c r="B18" s="17" t="str">
        <x:v>Defensin</x:v>
      </x:c>
      <x:c r="C18" s="22" t="n">
        <x:v>2</x:v>
      </x:c>
      <x:c r="D18" s="22" t="n">
        <x:v>9.346549</x:v>
      </x:c>
      <x:c r="E18" s="22" t="n">
        <x:v>4.736032333333334</x:v>
      </x:c>
      <x:c r="F18" s="22" t="n">
        <x:v>13.957065666666669</x:v>
      </x:c>
      <x:c r="G18" s="22" t="n">
        <x:v>18.567582333333334</x:v>
      </x:c>
      <x:c r="H18" s="22" t="str">
        <x:v>NM_001043905.2</x:v>
      </x:c>
      <x:c r="I18" s="22" t="n">
        <x:v>18.567582333333334</x:v>
      </x:c>
      <x:c r="J18" s="17" t="str">
        <x:v>defensin-like protein</x:v>
      </x:c>
    </x:row>
    <x:row r="19">
      <x:c r="A19" s="17" t="str">
        <x:v>Immunity</x:v>
      </x:c>
      <x:c r="B19" s="17" t="str">
        <x:v>PGRP</x:v>
      </x:c>
      <x:c r="C19" s="22" t="n">
        <x:v>24</x:v>
      </x:c>
      <x:c r="D19" s="22" t="n">
        <x:v>1.2723208333333333</x:v>
      </x:c>
      <x:c r="E19" s="22" t="n">
        <x:v>0</x:v>
      </x:c>
      <x:c r="F19" s="22" t="n">
        <x:v>26.202387875</x:v>
      </x:c>
      <x:c r="G19" s="22" t="n">
        <x:v>2530.2223176666666</x:v>
      </x:c>
      <x:c r="H19" s="22" t="str">
        <x:v>NM_001257020.2</x:v>
      </x:c>
      <x:c r="I19" s="22" t="n">
        <x:v>2530.2223176666666</x:v>
      </x:c>
      <x:c r="J19" s="17" t="str">
        <x:v>peptidoglycan recognition protein</x:v>
      </x:c>
    </x:row>
    <x:row r="20">
      <x:c r="A20" s="17" t="str">
        <x:v>Immunity</x:v>
      </x:c>
      <x:c r="B20" s="17" t="str">
        <x:v>Prophenoloxidase</x:v>
      </x:c>
      <x:c r="C20" s="22" t="n">
        <x:v>6</x:v>
      </x:c>
      <x:c r="D20" s="22" t="n">
        <x:v>0.18452274999999999</x:v>
      </x:c>
      <x:c r="E20" s="22" t="n">
        <x:v>0.053511583333333335</x:v>
      </x:c>
      <x:c r="F20" s="22" t="n">
        <x:v>1.2916929166666666</x:v>
      </x:c>
      <x:c r="G20" s="22" t="n">
        <x:v>3.4956275</x:v>
      </x:c>
      <x:c r="H20" s="22" t="str">
        <x:v>NM_001043367.1</x:v>
      </x:c>
      <x:c r="I20" s="22" t="n">
        <x:v>3.4956275</x:v>
      </x:c>
      <x:c r="J20" s="17" t="str">
        <x:v>prophenoloxidase activating enzyme</x:v>
      </x:c>
    </x:row>
    <x:row r="21">
      <x:c r="A21" s="17" t="str">
        <x:v>Development</x:v>
      </x:c>
      <x:c r="B21" s="17" t="str">
        <x:v>Juvenile hormone-binding protein</x:v>
      </x:c>
      <x:c r="C21" s="22" t="n">
        <x:v>5</x:v>
      </x:c>
      <x:c r="D21" s="22" t="n">
        <x:v>0</x:v>
      </x:c>
      <x:c r="E21" s="22" t="n">
        <x:v>0</x:v>
      </x:c>
      <x:c r="F21" s="22" t="n">
        <x:v>0.024138166666666665</x:v>
      </x:c>
      <x:c r="G21" s="22" t="n">
        <x:v>0.07187133333333333</x:v>
      </x:c>
      <x:c r="H21" s="22" t="str">
        <x:v>XM_062675236.1</x:v>
      </x:c>
      <x:c r="I21" s="22" t="n">
        <x:v>0.07187133333333333</x:v>
      </x:c>
      <x:c r="J21" s="17" t="str">
        <x:v>juvenile hormone-binding protein</x:v>
      </x:c>
    </x:row>
    <x:row r="22">
      <x:c r="A22" s="17" t="str">
        <x:v>Development</x:v>
      </x:c>
      <x:c r="B22" s="17" t="str">
        <x:v>Juvenile hormone esterase</x:v>
      </x:c>
      <x:c r="C22" s="22" t="n">
        <x:v>36</x:v>
      </x:c>
      <x:c r="D22" s="22" t="n">
        <x:v>0.2589693333333334</x:v>
      </x:c>
      <x:c r="E22" s="22" t="n">
        <x:v>0.026468541666666665</x:v>
      </x:c>
      <x:c r="F22" s="22" t="n">
        <x:v>3.8022063333333334</x:v>
      </x:c>
      <x:c r="G22" s="22" t="n">
        <x:v>65.6256205</x:v>
      </x:c>
      <x:c r="H22" s="22" t="str">
        <x:v>XM_004933393.5</x:v>
      </x:c>
      <x:c r="I22" s="22" t="n">
        <x:v>65.6256205</x:v>
      </x:c>
      <x:c r="J22" s="17" t="str">
        <x:v>juvenile hormone esterase</x:v>
      </x:c>
    </x:row>
    <x:row r="23">
      <x:c r="A23" s="17" t="str">
        <x:v>Development</x:v>
      </x:c>
      <x:c r="B23" s="17" t="str">
        <x:v>Ecdysone receptor</x:v>
      </x:c>
      <x:c r="C23" s="22" t="n">
        <x:v>7</x:v>
      </x:c>
      <x:c r="D23" s="22" t="n">
        <x:v>0.03422583333333334</x:v>
      </x:c>
      <x:c r="E23" s="22" t="n">
        <x:v>0</x:v>
      </x:c>
      <x:c r="F23" s="22" t="n">
        <x:v>0.060358166666666664</x:v>
      </x:c>
      <x:c r="G23" s="22" t="n">
        <x:v>0.4420053333333333</x:v>
      </x:c>
      <x:c r="H23" s="22" t="str">
        <x:v>XM_062670319.1</x:v>
      </x:c>
      <x:c r="I23" s="22" t="n">
        <x:v>0.4420053333333333</x:v>
      </x:c>
      <x:c r="J23" s="17" t="str">
        <x:v>ecdysone receptor</x:v>
      </x:c>
    </x:row>
    <x:row r="24">
      <x:c r="A24" s="17" t="str">
        <x:v>Development</x:v>
      </x:c>
      <x:c r="B24" s="17" t="str">
        <x:v>Broad-complex</x:v>
      </x:c>
      <x:c r="C24" s="22" t="n">
        <x:v>15</x:v>
      </x:c>
      <x:c r="D24" s="22" t="n">
        <x:v>0.19383916666666667</x:v>
      </x:c>
      <x:c r="E24" s="22" t="n">
        <x:v>0</x:v>
      </x:c>
      <x:c r="F24" s="22" t="n">
        <x:v>0.7532415833333332</x:v>
      </x:c>
      <x:c r="G24" s="22" t="n">
        <x:v>1.6890975</x:v>
      </x:c>
      <x:c r="H24" s="22" t="str">
        <x:v>XM_004931843.5</x:v>
      </x:c>
      <x:c r="I24" s="22" t="n">
        <x:v>1.6890975</x:v>
      </x:c>
      <x:c r="J24" s="17" t="str">
        <x:v>broad-complex core protein isoforms 1/2/3/4/5</x:v>
      </x:c>
    </x:row>
    <x:row r="25">
      <x:c r="A25" s="17" t="str">
        <x:v>Development</x:v>
      </x:c>
      <x:c r="B25" s="17" t="str">
        <x:v>Ecdysis-triggering hormone receptor</x:v>
      </x:c>
      <x:c r="C25" s="22" t="n">
        <x:v>0</x:v>
      </x:c>
      <x:c r="D25" s="22"/>
      <x:c r="E25" s="22"/>
      <x:c r="F25" s="22"/>
      <x:c r="G25" s="22"/>
      <x:c r="H25" s="22"/>
      <x:c r="I25" s="22"/>
      <x:c r="J25" s="17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14" hidden="0" customWidth="1"/>
    <x:col min="3" max="3" width="16" hidden="0" customWidth="1"/>
    <x:col min="4" max="4" width="11.880000114440918" hidden="0" customWidth="1"/>
    <x:col min="5" max="5" width="10.880000114440918" hidden="0" customWidth="1"/>
    <x:col min="6" max="6" width="10.880000114440918" hidden="0" customWidth="1"/>
    <x:col min="7" max="7" width="10.880000114440918" hidden="0" customWidth="1"/>
    <x:col min="8" max="8" width="10.880000114440918" hidden="0" customWidth="1"/>
    <x:col min="9" max="9" width="10.880000114440918" hidden="0" customWidth="1"/>
    <x:col min="10" max="10" width="10.880000114440918" hidden="0" customWidth="1"/>
    <x:col min="11" max="11" width="8.880000114440918" hidden="0" customWidth="1"/>
    <x:col min="12" max="12" width="11.25" hidden="0" customWidth="1"/>
    <x:col min="13" max="13" width="3.880000114440918" hidden="0" customWidth="1"/>
    <x:col min="14" max="14" width="55" hidden="0" customWidth="1"/>
    <x:col min="15" max="15" width="8" hidden="0" customWidth="1"/>
  </x:cols>
  <x:sheetData>
    <x:row r="1" ht="30" customHeight="1">
      <x:c r="A1" s="16" t="str">
        <x:v>B. mori fixed-seed random expression background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>
      <x:c r="A3" s="19" t="str">
        <x:v>Quintile</x:v>
      </x:c>
      <x:c r="B3" s="20" t="str">
        <x:v>TranscriptID</x:v>
      </x:c>
      <x:c r="C3" s="20" t="str">
        <x:v>GeneID</x:v>
      </x:c>
      <x:c r="D3" s="20" t="str">
        <x:v>GeneSymbol</x:v>
      </x:c>
      <x:c r="E3" s="20" t="str">
        <x:v>SRR14535556</x:v>
      </x:c>
      <x:c r="F3" s="20" t="str">
        <x:v>SRR14535555</x:v>
      </x:c>
      <x:c r="G3" s="20" t="str">
        <x:v>SRR14535554</x:v>
      </x:c>
      <x:c r="H3" s="20" t="str">
        <x:v>SRR14535566</x:v>
      </x:c>
      <x:c r="I3" s="20" t="str">
        <x:v>SRR14535565</x:v>
      </x:c>
      <x:c r="J3" s="20" t="str">
        <x:v>SRR14535564</x:v>
      </x:c>
      <x:c r="K3" s="20" t="str">
        <x:v>Mean TPM</x:v>
      </x:c>
      <x:c r="L3" s="20" t="str">
        <x:v>log10(TPM+1)</x:v>
      </x:c>
      <x:c r="M3" s="20" t="str">
        <x:v>CV</x:v>
      </x:c>
      <x:c r="N3" s="20" t="str">
        <x:v>Annotation</x:v>
      </x:c>
      <x:c r="O3" s="21" t="str">
        <x:v>Seed</x:v>
      </x:c>
    </x:row>
    <x:row r="4">
      <x:c r="A4" s="17" t="str">
        <x:v>Random_expression_quintile_1</x:v>
      </x:c>
      <x:c r="B4" s="17" t="str">
        <x:v>XM_012693013.4</x:v>
      </x:c>
      <x:c r="C4" s="17" t="str">
        <x:v>gene-LOC101736451</x:v>
      </x:c>
      <x:c r="D4" s="17" t="str">
        <x:v>LOC101736451</x:v>
      </x:c>
      <x:c r="E4" s="22" t="n">
        <x:v>0.014461</x:v>
      </x:c>
      <x:c r="F4" s="22" t="n">
        <x:v>0.005906</x:v>
      </x:c>
      <x:c r="G4" s="22" t="n">
        <x:v>0.025614</x:v>
      </x:c>
      <x:c r="H4" s="22" t="n">
        <x:v>0.012859</x:v>
      </x:c>
      <x:c r="I4" s="22" t="n">
        <x:v>0.011582</x:v>
      </x:c>
      <x:c r="J4" s="22" t="n">
        <x:v>0.032632</x:v>
      </x:c>
      <x:c r="K4" s="22" t="n">
        <x:f>AVERAGE(E4:J4)</x:f>
        <x:v>0.01717566666666667</x:v>
      </x:c>
      <x:c r="L4" s="22" t="n">
        <x:f>LOG10(K4+1)</x:f>
        <x:v>0.00739596224020669</x:v>
      </x:c>
      <x:c r="M4" s="22" t="n">
        <x:v>0.5789501433312759</x:v>
      </x:c>
      <x:c r="N4" s="17" t="str">
        <x:v>adenylate kinase isoenzyme 5</x:v>
      </x:c>
      <x:c r="O4" s="17" t="n">
        <x:v>20260822</x:v>
      </x:c>
    </x:row>
    <x:row r="5">
      <x:c r="A5" s="17" t="str">
        <x:v>Random_expression_quintile_1</x:v>
      </x:c>
      <x:c r="B5" s="17" t="str">
        <x:v>NM_001173345.1</x:v>
      </x:c>
      <x:c r="C5" s="17" t="str">
        <x:v>gene-nAChRa4</x:v>
      </x:c>
      <x:c r="D5" s="17" t="str">
        <x:v>nAChRa4</x:v>
      </x:c>
      <x:c r="E5" s="22" t="n">
        <x:v>0</x:v>
      </x:c>
      <x:c r="F5" s="22" t="n">
        <x:v>0</x:v>
      </x:c>
      <x:c r="G5" s="22" t="n">
        <x:v>0.026861</x:v>
      </x:c>
      <x:c r="H5" s="22" t="n">
        <x:v>0</x:v>
      </x:c>
      <x:c r="I5" s="22" t="n">
        <x:v>0</x:v>
      </x:c>
      <x:c r="J5" s="22" t="n">
        <x:v>0</x:v>
      </x:c>
      <x:c r="K5" s="22" t="n">
        <x:f>AVERAGE(E5:J5)</x:f>
        <x:v>0.0044768333333333335</x:v>
      </x:c>
      <x:c r="L5" s="22" t="n">
        <x:f>LOG10(K5+1)</x:f>
        <x:v>0.00193992488564295</x:v>
      </x:c>
      <x:c r="M5" s="22" t="n">
        <x:v>2.449489742783178</x:v>
      </x:c>
      <x:c r="N5" s="17" t="str">
        <x:v>nicotinic acetylcholine receptor subunit alpha 4</x:v>
      </x:c>
      <x:c r="O5" s="17" t="n">
        <x:v>20260822</x:v>
      </x:c>
    </x:row>
    <x:row r="6">
      <x:c r="A6" s="17" t="str">
        <x:v>Random_expression_quintile_1</x:v>
      </x:c>
      <x:c r="B6" s="17" t="str">
        <x:v>XM_012691819.4</x:v>
      </x:c>
      <x:c r="C6" s="17" t="str">
        <x:v>gene-LOC101743402</x:v>
      </x:c>
      <x:c r="D6" s="17" t="str">
        <x:v>LOC101743402</x:v>
      </x:c>
      <x:c r="E6" s="22" t="n">
        <x:v>0</x:v>
      </x:c>
      <x:c r="F6" s="22" t="n">
        <x:v>0</x:v>
      </x:c>
      <x:c r="G6" s="22" t="n">
        <x:v>0</x:v>
      </x:c>
      <x:c r="H6" s="22" t="n">
        <x:v>0</x:v>
      </x:c>
      <x:c r="I6" s="22" t="n">
        <x:v>0</x:v>
      </x:c>
      <x:c r="J6" s="22" t="n">
        <x:v>0.029962</x:v>
      </x:c>
      <x:c r="K6" s="22" t="n">
        <x:f>AVERAGE(E6:J6)</x:f>
        <x:v>0.004993666666666666</x:v>
      </x:c>
      <x:c r="L6" s="22" t="n">
        <x:f>LOG10(K6+1)</x:f>
        <x:v>0.00216332490040271</x:v>
      </x:c>
      <x:c r="M6" s="22" t="n">
        <x:v>2.449489742783178</x:v>
      </x:c>
      <x:c r="N6" s="17" t="str">
        <x:v>liprin-beta-2</x:v>
      </x:c>
      <x:c r="O6" s="17" t="n">
        <x:v>20260822</x:v>
      </x:c>
    </x:row>
    <x:row r="7">
      <x:c r="A7" s="17" t="str">
        <x:v>Random_expression_quintile_1</x:v>
      </x:c>
      <x:c r="B7" s="17" t="str">
        <x:v>XM_062674571.1</x:v>
      </x:c>
      <x:c r="C7" s="17" t="str">
        <x:v>gene-LOC692448</x:v>
      </x:c>
      <x:c r="D7" s="17" t="str">
        <x:v>LOC692448</x:v>
      </x:c>
      <x:c r="E7" s="22" t="n">
        <x:v>0.048893</x:v>
      </x:c>
      <x:c r="F7" s="22" t="n">
        <x:v>0</x:v>
      </x:c>
      <x:c r="G7" s="22" t="n">
        <x:v>0.063943</x:v>
      </x:c>
      <x:c r="H7" s="22" t="n">
        <x:v>0</x:v>
      </x:c>
      <x:c r="I7" s="22" t="n">
        <x:v>0</x:v>
      </x:c>
      <x:c r="J7" s="22" t="n">
        <x:v>0</x:v>
      </x:c>
      <x:c r="K7" s="22" t="n">
        <x:f>AVERAGE(E7:J7)</x:f>
        <x:v>0.018806</x:v>
      </x:c>
      <x:c r="L7" s="22" t="n">
        <x:f>LOG10(K7+1)</x:f>
        <x:v>0.00809149396650726</x:v>
      </x:c>
      <x:c r="M7" s="22" t="n">
        <x:v>1.5697274441269276</x:v>
      </x:c>
      <x:c r="N7" s="17" t="str">
        <x:v>furin-like convetase</x:v>
      </x:c>
      <x:c r="O7" s="17" t="n">
        <x:v>20260822</x:v>
      </x:c>
    </x:row>
    <x:row r="8">
      <x:c r="A8" s="17" t="str">
        <x:v>Random_expression_quintile_2</x:v>
      </x:c>
      <x:c r="B8" s="17" t="str">
        <x:v>XM_062671536.1</x:v>
      </x:c>
      <x:c r="C8" s="17" t="str">
        <x:v>gene-LOC101743024</x:v>
      </x:c>
      <x:c r="D8" s="17" t="str">
        <x:v>LOC101743024</x:v>
      </x:c>
      <x:c r="E8" s="22" t="n">
        <x:v>0</x:v>
      </x:c>
      <x:c r="F8" s="22" t="n">
        <x:v>0</x:v>
      </x:c>
      <x:c r="G8" s="22" t="n">
        <x:v>0.464148</x:v>
      </x:c>
      <x:c r="H8" s="22" t="n">
        <x:v>0</x:v>
      </x:c>
      <x:c r="I8" s="22" t="n">
        <x:v>0</x:v>
      </x:c>
      <x:c r="J8" s="22" t="n">
        <x:v>0.399185</x:v>
      </x:c>
      <x:c r="K8" s="22" t="n">
        <x:f>AVERAGE(E8:J8)</x:f>
        <x:v>0.14388883333333333</x:v>
      </x:c>
      <x:c r="L8" s="22" t="n">
        <x:f>LOG10(K8+1)</x:f>
        <x:v>0.0583838204222293</x:v>
      </x:c>
      <x:c r="M8" s="22" t="n">
        <x:v>1.5557581632987783</x:v>
      </x:c>
      <x:c r="N8" s="17" t="str">
        <x:v>uncharacterized LOC101743024</x:v>
      </x:c>
      <x:c r="O8" s="17" t="n">
        <x:v>20260822</x:v>
      </x:c>
    </x:row>
    <x:row r="9">
      <x:c r="A9" s="17" t="str">
        <x:v>Random_expression_quintile_2</x:v>
      </x:c>
      <x:c r="B9" s="17" t="str">
        <x:v>NM_001099837.1</x:v>
      </x:c>
      <x:c r="C9" s="17" t="str">
        <x:v>gene-MSL2</x:v>
      </x:c>
      <x:c r="D9" s="17" t="str">
        <x:v>MSL2</x:v>
      </x:c>
      <x:c r="E9" s="22" t="n">
        <x:v>0.113052</x:v>
      </x:c>
      <x:c r="F9" s="22" t="n">
        <x:v>0.115513</x:v>
      </x:c>
      <x:c r="G9" s="22" t="n">
        <x:v>0.162855</x:v>
      </x:c>
      <x:c r="H9" s="22" t="n">
        <x:v>0.17587</x:v>
      </x:c>
      <x:c r="I9" s="22" t="n">
        <x:v>0.090651</x:v>
      </x:c>
      <x:c r="J9" s="22" t="n">
        <x:v>0.127783</x:v>
      </x:c>
      <x:c r="K9" s="22" t="n">
        <x:f>AVERAGE(E9:J9)</x:f>
        <x:v>0.130954</x:v>
      </x:c>
      <x:c r="L9" s="22" t="n">
        <x:f>LOG10(K9+1)</x:f>
        <x:v>0.0534449409533583</x:v>
      </x:c>
      <x:c r="M9" s="22" t="n">
        <x:v>0.24693418306564854</x:v>
      </x:c>
      <x:c r="N9" s="17" t="str">
        <x:v>MSL2 protein</x:v>
      </x:c>
      <x:c r="O9" s="17" t="n">
        <x:v>20260822</x:v>
      </x:c>
    </x:row>
    <x:row r="10">
      <x:c r="A10" s="17" t="str">
        <x:v>Random_expression_quintile_2</x:v>
      </x:c>
      <x:c r="B10" s="17" t="str">
        <x:v>XM_021348417.3</x:v>
      </x:c>
      <x:c r="C10" s="17" t="str">
        <x:v>gene-LOC110385304</x:v>
      </x:c>
      <x:c r="D10" s="17" t="str">
        <x:v>LOC110385304</x:v>
      </x:c>
      <x:c r="E10" s="22" t="n">
        <x:v>0.100136</x:v>
      </x:c>
      <x:c r="F10" s="22" t="n">
        <x:v>0</x:v>
      </x:c>
      <x:c r="G10" s="22" t="n">
        <x:v>0.066804</x:v>
      </x:c>
      <x:c r="H10" s="22" t="n">
        <x:v>0.166726</x:v>
      </x:c>
      <x:c r="I10" s="22" t="n">
        <x:v>0</x:v>
      </x:c>
      <x:c r="J10" s="22" t="n">
        <x:v>0</x:v>
      </x:c>
      <x:c r="K10" s="22" t="n">
        <x:f>AVERAGE(E10:J10)</x:f>
        <x:v>0.055611</x:v>
      </x:c>
      <x:c r="L10" s="22" t="n">
        <x:f>LOG10(K10+1)</x:f>
        <x:v>0.0235039071395337</x:v>
      </x:c>
      <x:c r="M10" s="22" t="n">
        <x:v>1.238859168746269</x:v>
      </x:c>
      <x:c r="N10" s="17" t="str">
        <x:v>uncharacterized LOC110385304</x:v>
      </x:c>
      <x:c r="O10" s="17" t="n">
        <x:v>20260822</x:v>
      </x:c>
    </x:row>
    <x:row r="11">
      <x:c r="A11" s="17" t="str">
        <x:v>Random_expression_quintile_2</x:v>
      </x:c>
      <x:c r="B11" s="17" t="str">
        <x:v>XM_012697552.4</x:v>
      </x:c>
      <x:c r="C11" s="17" t="str">
        <x:v>gene-LOC101742529</x:v>
      </x:c>
      <x:c r="D11" s="17" t="str">
        <x:v>LOC101742529</x:v>
      </x:c>
      <x:c r="E11" s="22" t="n">
        <x:v>0.070357</x:v>
      </x:c>
      <x:c r="F11" s="22" t="n">
        <x:v>0.056136</x:v>
      </x:c>
      <x:c r="G11" s="22" t="n">
        <x:v>0</x:v>
      </x:c>
      <x:c r="H11" s="22" t="n">
        <x:v>0</x:v>
      </x:c>
      <x:c r="I11" s="22" t="n">
        <x:v>0.20555</x:v>
      </x:c>
      <x:c r="J11" s="22" t="n">
        <x:v>0</x:v>
      </x:c>
      <x:c r="K11" s="22" t="n">
        <x:f>AVERAGE(E11:J11)</x:f>
        <x:v>0.055340499999999994</x:v>
      </x:c>
      <x:c r="L11" s="22" t="n">
        <x:f>LOG10(K11+1)</x:f>
        <x:v>0.0233926050485119</x:v>
      </x:c>
      <x:c r="M11" s="22" t="n">
        <x:v>1.4450703050499893</x:v>
      </x:c>
      <x:c r="N11" s="17" t="str">
        <x:v>low-density lipoprotein receptor-related protein 2</x:v>
      </x:c>
      <x:c r="O11" s="17" t="n">
        <x:v>20260822</x:v>
      </x:c>
    </x:row>
    <x:row r="12">
      <x:c r="A12" s="17" t="str">
        <x:v>Random_expression_quintile_3</x:v>
      </x:c>
      <x:c r="B12" s="17" t="str">
        <x:v>XM_004930492.5</x:v>
      </x:c>
      <x:c r="C12" s="17" t="str">
        <x:v>gene-LOC101737313</x:v>
      </x:c>
      <x:c r="D12" s="17" t="str">
        <x:v>LOC101737313</x:v>
      </x:c>
      <x:c r="E12" s="22" t="n">
        <x:v>0.247257</x:v>
      </x:c>
      <x:c r="F12" s="22" t="n">
        <x:v>0.036389</x:v>
      </x:c>
      <x:c r="G12" s="22" t="n">
        <x:v>0.177196</x:v>
      </x:c>
      <x:c r="H12" s="22" t="n">
        <x:v>0.139201</x:v>
      </x:c>
      <x:c r="I12" s="22" t="n">
        <x:v>0.184028</x:v>
      </x:c>
      <x:c r="J12" s="22" t="n">
        <x:v>0.420324</x:v>
      </x:c>
      <x:c r="K12" s="22" t="n">
        <x:f>AVERAGE(E12:J12)</x:f>
        <x:v>0.20073249999999998</x:v>
      </x:c>
      <x:c r="L12" s="22" t="n">
        <x:f>LOG10(K12+1)</x:f>
        <x:v>0.0794462657596219</x:v>
      </x:c>
      <x:c r="M12" s="22" t="n">
        <x:v>0.6380259187479176</x:v>
      </x:c>
      <x:c r="N12" s="17" t="str">
        <x:v>serine/threonine-protein kinase Doa</x:v>
      </x:c>
      <x:c r="O12" s="17" t="n">
        <x:v>20260822</x:v>
      </x:c>
    </x:row>
    <x:row r="13">
      <x:c r="A13" s="17" t="str">
        <x:v>Random_expression_quintile_3</x:v>
      </x:c>
      <x:c r="B13" s="17" t="str">
        <x:v>XM_062669389.1</x:v>
      </x:c>
      <x:c r="C13" s="17" t="str">
        <x:v>gene-LOC101744044</x:v>
      </x:c>
      <x:c r="D13" s="17" t="str">
        <x:v>LOC101744044</x:v>
      </x:c>
      <x:c r="E13" s="22" t="n">
        <x:v>0.562816</x:v>
      </x:c>
      <x:c r="F13" s="22" t="n">
        <x:v>0</x:v>
      </x:c>
      <x:c r="G13" s="22" t="n">
        <x:v>0</x:v>
      </x:c>
      <x:c r="H13" s="22" t="n">
        <x:v>1.201647</x:v>
      </x:c>
      <x:c r="I13" s="22" t="n">
        <x:v>0</x:v>
      </x:c>
      <x:c r="J13" s="22" t="n">
        <x:v>0</x:v>
      </x:c>
      <x:c r="K13" s="22" t="n">
        <x:f>AVERAGE(E13:J13)</x:f>
        <x:v>0.29407716666666667</x:v>
      </x:c>
      <x:c r="L13" s="22" t="n">
        <x:f>LOG10(K13+1)</x:f>
        <x:v>0.11196017436846</x:v>
      </x:c>
      <x:c r="M13" s="22" t="n">
        <x:v>1.694667909367205</x:v>
      </x:c>
      <x:c r="N13" s="17" t="str">
        <x:v>sarcalumenin</x:v>
      </x:c>
      <x:c r="O13" s="17" t="n">
        <x:v>20260822</x:v>
      </x:c>
    </x:row>
    <x:row r="14">
      <x:c r="A14" s="17" t="str">
        <x:v>Random_expression_quintile_3</x:v>
      </x:c>
      <x:c r="B14" s="17" t="str">
        <x:v>XM_012693485.4</x:v>
      </x:c>
      <x:c r="C14" s="17" t="str">
        <x:v>gene-LOC101738134</x:v>
      </x:c>
      <x:c r="D14" s="17" t="str">
        <x:v>LOC101738134</x:v>
      </x:c>
      <x:c r="E14" s="22" t="n">
        <x:v>0.11616</x:v>
      </x:c>
      <x:c r="F14" s="22" t="n">
        <x:v>0</x:v>
      </x:c>
      <x:c r="G14" s="22" t="n">
        <x:v>1.072789</x:v>
      </x:c>
      <x:c r="H14" s="22" t="n">
        <x:v>0</x:v>
      </x:c>
      <x:c r="I14" s="22" t="n">
        <x:v>0</x:v>
      </x:c>
      <x:c r="J14" s="22" t="n">
        <x:v>0.763262</x:v>
      </x:c>
      <x:c r="K14" s="22" t="n">
        <x:f>AVERAGE(E14:J14)</x:f>
        <x:v>0.3253685</x:v>
      </x:c>
      <x:c r="L14" s="22" t="n">
        <x:f>LOG10(K14+1)</x:f>
        <x:v>0.122336644511644</x:v>
      </x:c>
      <x:c r="M14" s="22" t="n">
        <x:v>1.4492493702919909</x:v>
      </x:c>
      <x:c r="N14" s="17" t="str">
        <x:v>uncharacterized LOC101738134</x:v>
      </x:c>
      <x:c r="O14" s="17" t="n">
        <x:v>20260822</x:v>
      </x:c>
    </x:row>
    <x:row r="15">
      <x:c r="A15" s="17" t="str">
        <x:v>Random_expression_quintile_3</x:v>
      </x:c>
      <x:c r="B15" s="17" t="str">
        <x:v>XM_004930131.5</x:v>
      </x:c>
      <x:c r="C15" s="17" t="str">
        <x:v>gene-LOC101746304</x:v>
      </x:c>
      <x:c r="D15" s="17" t="str">
        <x:v>LOC101746304</x:v>
      </x:c>
      <x:c r="E15" s="22" t="n">
        <x:v>0.884609</x:v>
      </x:c>
      <x:c r="F15" s="22" t="n">
        <x:v>0.055792</x:v>
      </x:c>
      <x:c r="G15" s="22" t="n">
        <x:v>0.241989</x:v>
      </x:c>
      <x:c r="H15" s="22" t="n">
        <x:v>0.755438</x:v>
      </x:c>
      <x:c r="I15" s="22" t="n">
        <x:v>0.903325</x:v>
      </x:c>
      <x:c r="J15" s="22" t="n">
        <x:v>0.103094</x:v>
      </x:c>
      <x:c r="K15" s="22" t="n">
        <x:f>AVERAGE(E15:J15)</x:f>
        <x:v>0.4907078333333333</x:v>
      </x:c>
      <x:c r="L15" s="22" t="n">
        <x:f>LOG10(K15+1)</x:f>
        <x:v>0.173392533590709</x:v>
      </x:c>
      <x:c r="M15" s="22" t="n">
        <x:v>0.8134917690993866</x:v>
      </x:c>
      <x:c r="N15" s="17" t="str">
        <x:v>uncharacterized LOC101746304</x:v>
      </x:c>
      <x:c r="O15" s="17" t="n">
        <x:v>20260822</x:v>
      </x:c>
    </x:row>
    <x:row r="16">
      <x:c r="A16" s="17" t="str">
        <x:v>Random_expression_quintile_4</x:v>
      </x:c>
      <x:c r="B16" s="17" t="str">
        <x:v>XM_038011196.2</x:v>
      </x:c>
      <x:c r="C16" s="17" t="str">
        <x:v>gene-LOC101745249</x:v>
      </x:c>
      <x:c r="D16" s="17" t="str">
        <x:v>LOC101745249</x:v>
      </x:c>
      <x:c r="E16" s="22" t="n">
        <x:v>1.343839</x:v>
      </x:c>
      <x:c r="F16" s="22" t="n">
        <x:v>3.044918</x:v>
      </x:c>
      <x:c r="G16" s="22" t="n">
        <x:v>1.474039</x:v>
      </x:c>
      <x:c r="H16" s="22" t="n">
        <x:v>4.222672</x:v>
      </x:c>
      <x:c r="I16" s="22" t="n">
        <x:v>3.917419</x:v>
      </x:c>
      <x:c r="J16" s="22" t="n">
        <x:v>2.221258</x:v>
      </x:c>
      <x:c r="K16" s="22" t="n">
        <x:f>AVERAGE(E16:J16)</x:f>
        <x:v>2.7040241666666667</x:v>
      </x:c>
      <x:c r="L16" s="22" t="n">
        <x:f>LOG10(K16+1)</x:f>
        <x:v>0.568673811545464</x:v>
      </x:c>
      <x:c r="M16" s="22" t="n">
        <x:v>0.45265798859232137</x:v>
      </x:c>
      <x:c r="N16" s="17" t="str">
        <x:v>potential E3 ubiquitin-protein ligase ariadne-2</x:v>
      </x:c>
      <x:c r="O16" s="17" t="n">
        <x:v>20260822</x:v>
      </x:c>
    </x:row>
    <x:row r="17">
      <x:c r="A17" s="17" t="str">
        <x:v>Random_expression_quintile_4</x:v>
      </x:c>
      <x:c r="B17" s="17" t="str">
        <x:v>XM_012694959.4</x:v>
      </x:c>
      <x:c r="C17" s="17" t="str">
        <x:v>gene-LOC101742952</x:v>
      </x:c>
      <x:c r="D17" s="17" t="str">
        <x:v>LOC101742952</x:v>
      </x:c>
      <x:c r="E17" s="22" t="n">
        <x:v>1.181417</x:v>
      </x:c>
      <x:c r="F17" s="22" t="n">
        <x:v>0.660847</x:v>
      </x:c>
      <x:c r="G17" s="22" t="n">
        <x:v>1.714977</x:v>
      </x:c>
      <x:c r="H17" s="22" t="n">
        <x:v>0.933401</x:v>
      </x:c>
      <x:c r="I17" s="22" t="n">
        <x:v>0.632787</x:v>
      </x:c>
      <x:c r="J17" s="22" t="n">
        <x:v>1.638213</x:v>
      </x:c>
      <x:c r="K17" s="22" t="n">
        <x:f>AVERAGE(E17:J17)</x:f>
        <x:v>1.1269403333333334</x:v>
      </x:c>
      <x:c r="L17" s="22" t="n">
        <x:f>LOG10(K17+1)</x:f>
        <x:v>0.327755306890247</x:v>
      </x:c>
      <x:c r="M17" s="22" t="n">
        <x:v>0.41791521273234855</x:v>
      </x:c>
      <x:c r="N17" s="17" t="str">
        <x:v>uncharacterized LOC101742952</x:v>
      </x:c>
      <x:c r="O17" s="17" t="n">
        <x:v>20260822</x:v>
      </x:c>
    </x:row>
    <x:row r="18">
      <x:c r="A18" s="17" t="str">
        <x:v>Random_expression_quintile_4</x:v>
      </x:c>
      <x:c r="B18" s="17" t="str">
        <x:v>XM_062675196.1</x:v>
      </x:c>
      <x:c r="C18" s="17" t="str">
        <x:v>gene-LOC101743519</x:v>
      </x:c>
      <x:c r="D18" s="17" t="str">
        <x:v>LOC101743519</x:v>
      </x:c>
      <x:c r="E18" s="22" t="n">
        <x:v>0.717193</x:v>
      </x:c>
      <x:c r="F18" s="22" t="n">
        <x:v>0.714628</x:v>
      </x:c>
      <x:c r="G18" s="22" t="n">
        <x:v>1.188225</x:v>
      </x:c>
      <x:c r="H18" s="22" t="n">
        <x:v>0.645721</x:v>
      </x:c>
      <x:c r="I18" s="22" t="n">
        <x:v>0.794684</x:v>
      </x:c>
      <x:c r="J18" s="22" t="n">
        <x:v>1.253789</x:v>
      </x:c>
      <x:c r="K18" s="22" t="n">
        <x:f>AVERAGE(E18:J18)</x:f>
        <x:v>0.8857066666666668</x:v>
      </x:c>
      <x:c r="L18" s="22" t="n">
        <x:f>LOG10(K18+1)</x:f>
        <x:v>0.275474136462869</x:v>
      </x:c>
      <x:c r="M18" s="22" t="n">
        <x:v>0.2989488910937082</x:v>
      </x:c>
      <x:c r="N18" s="17" t="str">
        <x:v>uncharacterized LOC101743519</x:v>
      </x:c>
      <x:c r="O18" s="17" t="n">
        <x:v>20260822</x:v>
      </x:c>
    </x:row>
    <x:row r="19">
      <x:c r="A19" s="17" t="str">
        <x:v>Random_expression_quintile_4</x:v>
      </x:c>
      <x:c r="B19" s="17" t="str">
        <x:v>XM_038017373.2</x:v>
      </x:c>
      <x:c r="C19" s="17" t="str">
        <x:v>gene-LOC101739167</x:v>
      </x:c>
      <x:c r="D19" s="17" t="str">
        <x:v>LOC101739167</x:v>
      </x:c>
      <x:c r="E19" s="22" t="n">
        <x:v>1.533418</x:v>
      </x:c>
      <x:c r="F19" s="22" t="n">
        <x:v>1.42878</x:v>
      </x:c>
      <x:c r="G19" s="22" t="n">
        <x:v>2.191656</x:v>
      </x:c>
      <x:c r="H19" s="22" t="n">
        <x:v>1.209461</x:v>
      </x:c>
      <x:c r="I19" s="22" t="n">
        <x:v>1.164819</x:v>
      </x:c>
      <x:c r="J19" s="22" t="n">
        <x:v>2.236855</x:v>
      </x:c>
      <x:c r="K19" s="22" t="n">
        <x:f>AVERAGE(E19:J19)</x:f>
        <x:v>1.6274981666666666</x:v>
      </x:c>
      <x:c r="L19" s="22" t="n">
        <x:f>LOG10(K19+1)</x:f>
        <x:v>0.419542421671991</x:v>
      </x:c>
      <x:c r="M19" s="22" t="n">
        <x:v>0.29168198014622904</x:v>
      </x:c>
      <x:c r="N19" s="17" t="str">
        <x:v>nuclear RNA export factor 1</x:v>
      </x:c>
      <x:c r="O19" s="17" t="n">
        <x:v>20260822</x:v>
      </x:c>
    </x:row>
    <x:row r="20">
      <x:c r="A20" s="17" t="str">
        <x:v>Random_expression_quintile_5</x:v>
      </x:c>
      <x:c r="B20" s="17" t="str">
        <x:v>XM_012696659.4</x:v>
      </x:c>
      <x:c r="C20" s="17" t="str">
        <x:v>gene-LOC101745983</x:v>
      </x:c>
      <x:c r="D20" s="17" t="str">
        <x:v>LOC101745983</x:v>
      </x:c>
      <x:c r="E20" s="22" t="n">
        <x:v>9.990301</x:v>
      </x:c>
      <x:c r="F20" s="22" t="n">
        <x:v>8.135948</x:v>
      </x:c>
      <x:c r="G20" s="22" t="n">
        <x:v>12.966979</x:v>
      </x:c>
      <x:c r="H20" s="22" t="n">
        <x:v>12.304955</x:v>
      </x:c>
      <x:c r="I20" s="22" t="n">
        <x:v>10.952193</x:v>
      </x:c>
      <x:c r="J20" s="22" t="n">
        <x:v>12.522057</x:v>
      </x:c>
      <x:c r="K20" s="22" t="n">
        <x:f>AVERAGE(E20:J20)</x:f>
        <x:v>11.1454055</x:v>
      </x:c>
      <x:c r="L20" s="22" t="n">
        <x:f>LOG10(K20+1)</x:f>
        <x:v>1.08441201922123</x:v>
      </x:c>
      <x:c r="M20" s="22" t="n">
        <x:v>0.16537442386666604</x:v>
      </x:c>
      <x:c r="N20" s="17" t="str">
        <x:v>uncharacterized LOC101745983</x:v>
      </x:c>
      <x:c r="O20" s="17" t="n">
        <x:v>20260822</x:v>
      </x:c>
    </x:row>
    <x:row r="21">
      <x:c r="A21" s="17" t="str">
        <x:v>Random_expression_quintile_5</x:v>
      </x:c>
      <x:c r="B21" s="17" t="str">
        <x:v>XM_038016550.2</x:v>
      </x:c>
      <x:c r="C21" s="17" t="str">
        <x:v>gene-LOC101735656</x:v>
      </x:c>
      <x:c r="D21" s="17" t="str">
        <x:v>LOC101735656</x:v>
      </x:c>
      <x:c r="E21" s="22" t="n">
        <x:v>14.682522</x:v>
      </x:c>
      <x:c r="F21" s="22" t="n">
        <x:v>20.818912</x:v>
      </x:c>
      <x:c r="G21" s="22" t="n">
        <x:v>32.228415</x:v>
      </x:c>
      <x:c r="H21" s="22" t="n">
        <x:v>10.697567</x:v>
      </x:c>
      <x:c r="I21" s="22" t="n">
        <x:v>17.654144</x:v>
      </x:c>
      <x:c r="J21" s="22" t="n">
        <x:v>12.54194</x:v>
      </x:c>
      <x:c r="K21" s="22" t="n">
        <x:f>AVERAGE(E21:J21)</x:f>
        <x:v>18.103916666666667</x:v>
      </x:c>
      <x:c r="L21" s="22" t="n">
        <x:f>LOG10(K21+1)</x:f>
        <x:v>1.2811224150143</x:v>
      </x:c>
      <x:c r="M21" s="22" t="n">
        <x:v>0.4311082825136679</x:v>
      </x:c>
      <x:c r="N21" s="17" t="str">
        <x:v>adenosine deaminase 2</x:v>
      </x:c>
      <x:c r="O21" s="17" t="n">
        <x:v>20260822</x:v>
      </x:c>
    </x:row>
    <x:row r="22">
      <x:c r="A22" s="17" t="str">
        <x:v>Random_expression_quintile_5</x:v>
      </x:c>
      <x:c r="B22" s="17" t="str">
        <x:v>NM_001046811.2</x:v>
      </x:c>
      <x:c r="C22" s="17" t="str">
        <x:v>gene-RpL7Ae</x:v>
      </x:c>
      <x:c r="D22" s="17" t="str">
        <x:v>RpL7Ae</x:v>
      </x:c>
      <x:c r="E22" s="22" t="n">
        <x:v>15.160896</x:v>
      </x:c>
      <x:c r="F22" s="22" t="n">
        <x:v>23.487589</x:v>
      </x:c>
      <x:c r="G22" s="22" t="n">
        <x:v>20.461449</x:v>
      </x:c>
      <x:c r="H22" s="22" t="n">
        <x:v>24.9156</x:v>
      </x:c>
      <x:c r="I22" s="22" t="n">
        <x:v>16.061676</x:v>
      </x:c>
      <x:c r="J22" s="22" t="n">
        <x:v>24.375328</x:v>
      </x:c>
      <x:c r="K22" s="22" t="n">
        <x:f>AVERAGE(E22:J22)</x:f>
        <x:v>20.743756333333334</x:v>
      </x:c>
      <x:c r="L22" s="22" t="n">
        <x:f>LOG10(K22+1)</x:f>
        <x:v>1.33733457258922</x:v>
      </x:c>
      <x:c r="M22" s="22" t="n">
        <x:v>0.2059879649364242</x:v>
      </x:c>
      <x:c r="N22" s="17" t="str">
        <x:v>ribosomal protein L7Ae</x:v>
      </x:c>
      <x:c r="O22" s="17" t="n">
        <x:v>20260822</x:v>
      </x:c>
    </x:row>
    <x:row r="23">
      <x:c r="A23" s="17" t="str">
        <x:v>Random_expression_quintile_5</x:v>
      </x:c>
      <x:c r="B23" s="17" t="str">
        <x:v>XM_062675583.1</x:v>
      </x:c>
      <x:c r="C23" s="17" t="str">
        <x:v>gene-LOC101736355</x:v>
      </x:c>
      <x:c r="D23" s="17" t="str">
        <x:v>LOC101736355</x:v>
      </x:c>
      <x:c r="E23" s="22" t="n">
        <x:v>0</x:v>
      </x:c>
      <x:c r="F23" s="22" t="n">
        <x:v>29.440286</x:v>
      </x:c>
      <x:c r="G23" s="22" t="n">
        <x:v>0</x:v>
      </x:c>
      <x:c r="H23" s="22" t="n">
        <x:v>27.196995</x:v>
      </x:c>
      <x:c r="I23" s="22" t="n">
        <x:v>23.826703</x:v>
      </x:c>
      <x:c r="J23" s="22" t="n">
        <x:v>13.907472</x:v>
      </x:c>
      <x:c r="K23" s="22" t="n">
        <x:f>AVERAGE(E23:J23)</x:f>
        <x:v>15.728575999999999</x:v>
      </x:c>
      <x:c r="L23" s="22" t="n">
        <x:f>LOG10(K23+1)</x:f>
        <x:v>1.22345897373805</x:v>
      </x:c>
      <x:c r="M23" s="22" t="n">
        <x:v>0.8450006988833353</x:v>
      </x:c>
      <x:c r="N23" s="17" t="str">
        <x:v>putative serine protease K12H4.7</x:v>
      </x:c>
      <x:c r="O23" s="17" t="n">
        <x:v>20260822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299991607666" hidden="0" customWidth="1"/>
    <x:col min="2" max="2" width="45" hidden="0" customWidth="1"/>
    <x:col min="3" max="3" width="45" hidden="0" customWidth="1"/>
    <x:col min="4" max="4" width="9.25" hidden="0" customWidth="1"/>
    <x:col min="5" max="5" width="13" hidden="0" customWidth="1"/>
    <x:col min="6" max="6" width="14.380000114440918" hidden="0" customWidth="1"/>
    <x:col min="7" max="7" width="16.25" hidden="0" customWidth="1"/>
    <x:col min="8" max="8" width="17.1299991607666" hidden="0" customWidth="1"/>
  </x:cols>
  <x:sheetData>
    <x:row r="1" ht="30" customHeight="1">
      <x:c r="A1" s="16" t="str">
        <x:v>CYP expression context</x:v>
      </x:c>
      <x:c r="B1" s="16"/>
      <x:c r="C1" s="16"/>
      <x:c r="D1" s="16"/>
      <x:c r="E1" s="16"/>
      <x:c r="F1" s="16"/>
      <x:c r="G1" s="16"/>
      <x:c r="H1" s="16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19" t="str">
        <x:v>Species</x:v>
      </x:c>
      <x:c r="B3" s="20" t="str">
        <x:v>Dataset</x:v>
      </x:c>
      <x:c r="C3" s="20" t="str">
        <x:v>Aggregation</x:v>
      </x:c>
      <x:c r="D3" s="20" t="str">
        <x:v>Gene count</x:v>
      </x:c>
      <x:c r="E3" s="20" t="str">
        <x:v>Mean gene TPM</x:v>
      </x:c>
      <x:c r="F3" s="20" t="str">
        <x:v>Median gene TPM</x:v>
      </x:c>
      <x:c r="G3" s="20" t="str">
        <x:v>Maximum gene TPM</x:v>
      </x:c>
      <x:c r="H3" s="21" t="str">
        <x:v>Genes mean TPM ≥10</x:v>
      </x:c>
    </x:row>
    <x:row r="4">
      <x:c r="A4" s="17" t="str">
        <x:v>P. hoenei</x:v>
      </x:c>
      <x:c r="B4" s="17" t="str">
        <x:v>current six-sample de novo gene-level matrix</x:v>
      </x:c>
      <x:c r="C4" s="17" t="str">
        <x:v>91 broad CYP genes</x:v>
      </x:c>
      <x:c r="D4" s="22" t="n">
        <x:v>91</x:v>
      </x:c>
      <x:c r="E4" s="22" t="n">
        <x:v>27.451469694139192</x:v>
      </x:c>
      <x:c r="F4" s="22" t="n">
        <x:v>3.7881153333333333</x:v>
      </x:c>
      <x:c r="G4" s="22" t="n">
        <x:v>291.58598383333333</x:v>
      </x:c>
      <x:c r="H4" s="22" t="n">
        <x:v>34</x:v>
      </x:c>
    </x:row>
    <x:row r="5">
      <x:c r="A5" s="17" t="str">
        <x:v>B. mori</x:v>
      </x:c>
      <x:c r="B5" s="17" t="str">
        <x:v>PRJNA729897 mulberry-fed midgut</x:v>
      </x:c>
      <x:c r="C5" s="17" t="str">
        <x:v>RefSeq transcripts summed by annotated gene</x:v>
      </x:c>
      <x:c r="D5" s="22" t="n">
        <x:v>83</x:v>
      </x:c>
      <x:c r="E5" s="22" t="n">
        <x:v>3.961378642570281</x:v>
      </x:c>
      <x:c r="F5" s="22" t="n">
        <x:v>0.10279516666666666</x:v>
      </x:c>
      <x:c r="G5" s="22" t="n">
        <x:v>105.41160016666667</x:v>
      </x:c>
      <x:c r="H5" s="22" t="n">
        <x:v>6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55" hidden="0" customWidth="1"/>
    <x:col min="3" max="3" width="55" hidden="0" customWidth="1"/>
    <x:col min="4" max="4" width="16.1299991607666" hidden="0" customWidth="1"/>
  </x:cols>
  <x:sheetData>
    <x:row r="1" ht="30" customHeight="1">
      <x:c r="A1" s="16" t="str">
        <x:v>Cross-species comparability matrix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19" t="str">
        <x:v>Dimension</x:v>
      </x:c>
      <x:c r="B3" s="20" t="str">
        <x:v>P. hoenei</x:v>
      </x:c>
      <x:c r="C3" s="20" t="str">
        <x:v>B. mori</x:v>
      </x:c>
      <x:c r="D3" s="21" t="str">
        <x:v>Comparability</x:v>
      </x:c>
    </x:row>
    <x:row r="4">
      <x:c r="A4" s="23" t="str">
        <x:v>Tissue</x:v>
      </x:c>
      <x:c r="B4" s="23" t="str">
        <x:v>Current experimental sample context; not matched here as isolated midgut</x:v>
      </x:c>
      <x:c r="C4" s="23" t="str">
        <x:v>Midgut</x:v>
      </x:c>
      <x:c r="D4" s="23" t="str">
        <x:v>limited</x:v>
      </x:c>
    </x:row>
    <x:row r="5">
      <x:c r="A5" s="23" t="str">
        <x:v>Diet</x:v>
      </x:c>
      <x:c r="B5" s="23" t="str">
        <x:v>Dan and Mul conditions</x:v>
      </x:c>
      <x:c r="C5" s="23" t="str">
        <x:v>Mulberry leaf only</x:v>
      </x:c>
      <x:c r="D5" s="23" t="str">
        <x:v>partial</x:v>
      </x:c>
    </x:row>
    <x:row r="6">
      <x:c r="A6" s="23" t="str">
        <x:v>Replication</x:v>
      </x:c>
      <x:c r="B6" s="23" t="str">
        <x:v>3 + 3</x:v>
      </x:c>
      <x:c r="C6" s="23" t="str">
        <x:v>3 female + 3 male</x:v>
      </x:c>
      <x:c r="D6" s="23" t="str">
        <x:v>descriptive</x:v>
      </x:c>
    </x:row>
    <x:row r="7">
      <x:c r="A7" s="23" t="str">
        <x:v>Reference</x:v>
      </x:c>
      <x:c r="B7" s="23" t="str">
        <x:v>de novo Trinity</x:v>
      </x:c>
      <x:c r="C7" s="23" t="str">
        <x:v>RefSeq genome-guided transcripts</x:v>
      </x:c>
      <x:c r="D7" s="23" t="str">
        <x:v>limited</x:v>
      </x:c>
    </x:row>
    <x:row r="8">
      <x:c r="A8" s="23" t="str">
        <x:v>Expression unit</x:v>
      </x:c>
      <x:c r="B8" s="23" t="str">
        <x:v>gene-level for detox; Trinity transcript for functional panel</x:v>
      </x:c>
      <x:c r="C8" s="23" t="str">
        <x:v>RefSeq transcript; CYP summed by gene</x:v>
      </x:c>
      <x:c r="D8" s="23" t="str">
        <x:v>mixed</x:v>
      </x:c>
    </x:row>
    <x:row r="9">
      <x:c r="A9" s="23" t="str">
        <x:v>Valid inference</x:v>
      </x:c>
      <x:c r="B9" s="23" t="str">
        <x:v>within-dataset expression layer</x:v>
      </x:c>
      <x:c r="C9" s="23" t="str">
        <x:v>within-midgut expression layer</x:v>
      </x:c>
      <x:c r="D9" s="23" t="str">
        <x:v>rank_and_layer_only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880001068115234" hidden="0" customWidth="1"/>
    <x:col min="2" max="2" width="95" hidden="0" customWidth="1"/>
  </x:cols>
  <x:sheetData>
    <x:row r="1" ht="30" customHeight="1">
      <x:c r="A1" s="16" t="str">
        <x:v>Methods and next-species extension</x:v>
      </x:c>
      <x:c r="B1" s="16"/>
    </x:row>
    <x:row r="2">
      <x:c r="A2" s="17"/>
      <x:c r="B2" s="17"/>
    </x:row>
    <x:row r="3">
      <x:c r="A3" s="19" t="str">
        <x:v>Item</x:v>
      </x:c>
      <x:c r="B3" s="21" t="str">
        <x:v>Description</x:v>
      </x:c>
    </x:row>
    <x:row r="4">
      <x:c r="A4" s="23" t="str">
        <x:v>B. mori source</x:v>
      </x:c>
      <x:c r="B4" s="23" t="str">
        <x:v>PRJNA729897; six mulberry-fed midgut libraries (three female, three male).</x:v>
      </x:c>
    </x:row>
    <x:row r="5">
      <x:c r="A5" s="23" t="str">
        <x:v>Annotation</x:v>
      </x:c>
      <x:c r="B5" s="23" t="str">
        <x:v>GCF_030269925.1 ASM3026992v2 RefSeq transcript-to-gene and product mapping.</x:v>
      </x:c>
    </x:row>
    <x:row r="6">
      <x:c r="A6" s="23" t="str">
        <x:v>Shared panel</x:v>
      </x:c>
      <x:c r="B6" s="23" t="str">
        <x:v>Same 22 functional definitions used for P. hoenei; 21 were recovered in B. mori.</x:v>
      </x:c>
    </x:row>
    <x:row r="7">
      <x:c r="A7" s="23" t="str">
        <x:v>Random background</x:v>
      </x:c>
      <x:c r="B7" s="23" t="str">
        <x:v>Seed 20260822; four annotated expressed transcripts from each TPM quintile.</x:v>
      </x:c>
    </x:row>
    <x:row r="8">
      <x:c r="A8" s="23" t="str">
        <x:v>CYP aggregation</x:v>
      </x:c>
      <x:c r="B8" s="23" t="str">
        <x:v>B. mori transcript TPM summed by annotated gene; P. hoenei uses the archived 91-gene broad CYP matrix.</x:v>
      </x:c>
    </x:row>
    <x:row r="9">
      <x:c r="A9" s="23" t="str">
        <x:v>Primary limitation</x:v>
      </x:c>
      <x:c r="B9" s="23" t="str">
        <x:v>Tissue, diet design, reference type, and aggregation differ; ratios are descriptive context only.</x:v>
      </x:c>
    </x:row>
    <x:row r="10">
      <x:c r="A10" s="23" t="str">
        <x:v>Papilio/Spodoptera</x:v>
      </x:c>
      <x:c r="B10" s="23" t="str">
        <x:v>Reuse marker definitions, seed, output schema, and QC; add only a species-specific input adapter.</x:v>
      </x:c>
    </x:row>
    <x:row r="11">
      <x:c r="A11" s="23" t="str">
        <x:v>Preferred future design</x:v>
      </x:c>
      <x:c r="B11" s="23" t="str">
        <x:v>Matched larval stage, midgut tissue, diet exposure, and biological replication.</x:v>
      </x:c>
    </x:row>
    <x:row r="12">
      <x:c r="A12" s="23" t="str">
        <x:v>Workflow record</x:v>
      </x:c>
      <x:c r="B12" s="23" t="str">
        <x:v>docs/expression_background_atlas_workflow.md</x:v>
      </x:c>
    </x:row>
  </x:sheetData>
  <x:mergeCells>
    <x:mergeCell ref="A1:B1"/>
  </x:mergeCells>
  <x:pageMargins left="0.7" right="0.7" top="0.75" bottom="0.75" header="0.3" footer="0.3"/>
</x:worksheet>
</file>